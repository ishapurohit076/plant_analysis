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harts/chart10.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5F687583-43D4-4530-948A-BD27C6FA58CB}" xr6:coauthVersionLast="47" xr6:coauthVersionMax="47" xr10:uidLastSave="{00000000-0000-0000-0000-000000000000}"/>
  <bookViews>
    <workbookView xWindow="-120" yWindow="-120" windowWidth="19440" windowHeight="11040" firstSheet="7" activeTab="12" xr2:uid="{00000000-000D-0000-FFFF-FFFF00000000}"/>
  </bookViews>
  <sheets>
    <sheet name="REVENUE" sheetId="1" r:id="rId1"/>
    <sheet name="Sheet13" sheetId="14" r:id="rId2"/>
    <sheet name="Sheet14" sheetId="15" r:id="rId3"/>
    <sheet name="clean data" sheetId="2" r:id="rId4"/>
    <sheet name="original p" sheetId="10" r:id="rId5"/>
    <sheet name="special p" sheetId="8" r:id="rId6"/>
    <sheet name="discount" sheetId="9" r:id="rId7"/>
    <sheet name="plant size" sheetId="7" r:id="rId8"/>
    <sheet name="return" sheetId="6" r:id="rId9"/>
    <sheet name="feng shui" sheetId="13" r:id="rId10"/>
    <sheet name="plant type" sheetId="12" r:id="rId11"/>
    <sheet name="brand name " sheetId="5" r:id="rId12"/>
    <sheet name="dashboad" sheetId="3" r:id="rId13"/>
  </sheets>
  <definedNames>
    <definedName name="_xlnm._FilterDatabase" localSheetId="3" hidden="1">'clean data'!$A$1:$O$441</definedName>
    <definedName name="_xlchart.v1.0" hidden="1">'original p'!$A$1</definedName>
    <definedName name="_xlchart.v1.1" hidden="1">'original p'!$A$2:$A$441</definedName>
    <definedName name="_xlchart.v1.10" hidden="1">discount!$A$1</definedName>
    <definedName name="_xlchart.v1.11" hidden="1">discount!$A$2:$A$441</definedName>
    <definedName name="_xlchart.v1.12" hidden="1">discount!$A$1</definedName>
    <definedName name="_xlchart.v1.13" hidden="1">discount!$A$2:$A$441</definedName>
    <definedName name="_xlchart.v1.2" hidden="1">'original p'!$A$1</definedName>
    <definedName name="_xlchart.v1.3" hidden="1">'original p'!$A$2:$A$441</definedName>
    <definedName name="_xlchart.v1.4" hidden="1">'original p'!$A$1</definedName>
    <definedName name="_xlchart.v1.5" hidden="1">'original p'!$A$2:$A$441</definedName>
    <definedName name="_xlchart.v1.6" hidden="1">'special p'!$A$1</definedName>
    <definedName name="_xlchart.v1.7" hidden="1">'special p'!$A$2:$A$441</definedName>
    <definedName name="_xlchart.v1.8" hidden="1">'special p'!$A$1</definedName>
    <definedName name="_xlchart.v1.9" hidden="1">'special p'!$A$2:$A$441</definedName>
    <definedName name="Slicer_TYPE">#N/A</definedName>
  </definedNames>
  <calcPr calcId="191029"/>
  <pivotCaches>
    <pivotCache cacheId="50" r:id="rId14"/>
    <pivotCache cacheId="55"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2" l="1"/>
  <c r="Q7"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2" i="2"/>
</calcChain>
</file>

<file path=xl/sharedStrings.xml><?xml version="1.0" encoding="utf-8"?>
<sst xmlns="http://schemas.openxmlformats.org/spreadsheetml/2006/main" count="9339" uniqueCount="1212">
  <si>
    <t>NAME</t>
  </si>
  <si>
    <t>ORIGINAL PRICE</t>
  </si>
  <si>
    <t>SPECIAL PRICE</t>
  </si>
  <si>
    <t>DISCOUNT</t>
  </si>
  <si>
    <t>RATING</t>
  </si>
  <si>
    <t>PLANT SIZE</t>
  </si>
  <si>
    <t>TYPE</t>
  </si>
  <si>
    <t>LOCATION</t>
  </si>
  <si>
    <t>BRAND NAME</t>
  </si>
  <si>
    <t>RETURN</t>
  </si>
  <si>
    <t>1754309573-1</t>
  </si>
  <si>
    <t>Oxygreenplant Areca Palm</t>
  </si>
  <si>
    <t>Oxygreenplant Areca Palm  (Hybrid, Pack of 1)</t>
  </si>
  <si>
    <t>₹399</t>
  </si>
  <si>
    <t>₹199</t>
  </si>
  <si>
    <t>50% off</t>
  </si>
  <si>
    <t/>
  </si>
  <si>
    <t>Medium</t>
  </si>
  <si>
    <t>Type: Bonsai</t>
  </si>
  <si>
    <t>Suitable Location: Outdoor</t>
  </si>
  <si>
    <t>OXYGREENPLANT</t>
  </si>
  <si>
    <t>No Returns Allowed?</t>
  </si>
  <si>
    <t>1754309576-2</t>
  </si>
  <si>
    <t>Bijaya Online Store Areca Palm</t>
  </si>
  <si>
    <t>Bijaya Online Store Areca Palm  (Hybrid, Pack of 2)</t>
  </si>
  <si>
    <t>₹299</t>
  </si>
  <si>
    <t>₹171</t>
  </si>
  <si>
    <t>42% off</t>
  </si>
  <si>
    <t>1.3</t>
  </si>
  <si>
    <t>Small</t>
  </si>
  <si>
    <t>Suitable Location: Indoor &amp; Outdoor</t>
  </si>
  <si>
    <t>NELSONnurseryPLANT</t>
  </si>
  <si>
    <t>1754309578-3</t>
  </si>
  <si>
    <t>UGAOO Variegated Money Plant</t>
  </si>
  <si>
    <t>UGAOO Variegated Money Plant  (Pack of 1)</t>
  </si>
  <si>
    <t>₹449</t>
  </si>
  <si>
    <t>₹384</t>
  </si>
  <si>
    <t>14% off</t>
  </si>
  <si>
    <t>4.4</t>
  </si>
  <si>
    <t>Type: Shrub</t>
  </si>
  <si>
    <t>Suitable Location: Indoor</t>
  </si>
  <si>
    <t>UGAOO</t>
  </si>
  <si>
    <t>1754309581-4</t>
  </si>
  <si>
    <t>UGAOO Golden Money Plant</t>
  </si>
  <si>
    <t>UGAOO Golden Money Plant  (Pack of 1)</t>
  </si>
  <si>
    <t>₹349</t>
  </si>
  <si>
    <t>22% off</t>
  </si>
  <si>
    <t>4.3</t>
  </si>
  <si>
    <t>1754309584-5</t>
  </si>
  <si>
    <t>PLANTTOOZS Clove Plant</t>
  </si>
  <si>
    <t>PLANTTOOZS Clove Plant  (Hybrid, Pack of 1)</t>
  </si>
  <si>
    <t>₹499</t>
  </si>
  <si>
    <t>₹150</t>
  </si>
  <si>
    <t>69% off</t>
  </si>
  <si>
    <t>Type: Herb</t>
  </si>
  <si>
    <t>AlaiStore</t>
  </si>
  <si>
    <t>1754309586-6</t>
  </si>
  <si>
    <t>K,M.GREEN Areca Palm</t>
  </si>
  <si>
    <t>K,M.GREEN Areca Palm  (Hybrid, Pack of 1)</t>
  </si>
  <si>
    <t>₹169</t>
  </si>
  <si>
    <t>66% off</t>
  </si>
  <si>
    <t>3</t>
  </si>
  <si>
    <t>MeeraTaders</t>
  </si>
  <si>
    <t>1754309589-7</t>
  </si>
  <si>
    <t>ABEFARIYA ZZ Plant</t>
  </si>
  <si>
    <t>ABEFARIYA ZZ Plant  (Hybrid, Pack of 1)</t>
  </si>
  <si>
    <t>₹1,500</t>
  </si>
  <si>
    <t>₹250</t>
  </si>
  <si>
    <t>83% off</t>
  </si>
  <si>
    <t>ABEFARIYA</t>
  </si>
  <si>
    <t>1754309591-8</t>
  </si>
  <si>
    <t>EliteGreen Clove Plant</t>
  </si>
  <si>
    <t>EliteGreen Clove Plant  (Hybrid, Pack of 1)</t>
  </si>
  <si>
    <t>₹153</t>
  </si>
  <si>
    <t>48% off</t>
  </si>
  <si>
    <t>2.5</t>
  </si>
  <si>
    <t>1754309594-9</t>
  </si>
  <si>
    <t>1754309596-10</t>
  </si>
  <si>
    <t>UGAOO Jade Plant</t>
  </si>
  <si>
    <t>UGAOO Jade Plant  (Hybrid, Pack of 1)</t>
  </si>
  <si>
    <t>₹335</t>
  </si>
  <si>
    <t>32% off</t>
  </si>
  <si>
    <t>4</t>
  </si>
  <si>
    <t>Type: Succulent</t>
  </si>
  <si>
    <t>1754309599-11</t>
  </si>
  <si>
    <t>Cloud Farm Dracaena Plant</t>
  </si>
  <si>
    <t>Cloud Farm Dracaena Plant  (Hybrid, Pack of 1)</t>
  </si>
  <si>
    <t>₹135</t>
  </si>
  <si>
    <t>GreenyOn</t>
  </si>
  <si>
    <t>1754309601-12</t>
  </si>
  <si>
    <t>ABEFARIYA Areca Palm</t>
  </si>
  <si>
    <t>ABEFARIYA Areca Palm  (Hybrid, Pack of 1)</t>
  </si>
  <si>
    <t>₹160</t>
  </si>
  <si>
    <t>89% off</t>
  </si>
  <si>
    <t>Type: Air purifier plant</t>
  </si>
  <si>
    <t>1754309604-13</t>
  </si>
  <si>
    <t>₹749</t>
  </si>
  <si>
    <t>₹516</t>
  </si>
  <si>
    <t>31% off</t>
  </si>
  <si>
    <t>3.6</t>
  </si>
  <si>
    <t>1754309606-14</t>
  </si>
  <si>
    <t>UGAOO Njoy Money Plant</t>
  </si>
  <si>
    <t>UGAOO Njoy Money Plant  (Hybrid, Pack of 1)</t>
  </si>
  <si>
    <t>₹549</t>
  </si>
  <si>
    <t>₹388</t>
  </si>
  <si>
    <t>29% off</t>
  </si>
  <si>
    <t>Type: Foliage</t>
  </si>
  <si>
    <t>1754309609-15</t>
  </si>
  <si>
    <t>₹1,300</t>
  </si>
  <si>
    <t>₹145</t>
  </si>
  <si>
    <t>88% off</t>
  </si>
  <si>
    <t>SAPLINGO</t>
  </si>
  <si>
    <t>1754309611-16</t>
  </si>
  <si>
    <t>Mohomaya Areca Palm</t>
  </si>
  <si>
    <t>Mohomaya Areca Palm  (Hybrid, Pack of 1)</t>
  </si>
  <si>
    <t>₹179</t>
  </si>
  <si>
    <t>55% off</t>
  </si>
  <si>
    <t>Type: Bamboo</t>
  </si>
  <si>
    <t>MOHOMAYA</t>
  </si>
  <si>
    <t>1754309614-17</t>
  </si>
  <si>
    <t>Cloud Farm Clove Plant</t>
  </si>
  <si>
    <t>Cloud Farm Clove Plant  (Hybrid, Pack of 1)</t>
  </si>
  <si>
    <t>₹142</t>
  </si>
  <si>
    <t>71% off</t>
  </si>
  <si>
    <t>1754309616-18</t>
  </si>
  <si>
    <t>ALG Clove Plant</t>
  </si>
  <si>
    <t>ALG Clove Plant  (Hybrid, Pack of 1)</t>
  </si>
  <si>
    <t>₹565</t>
  </si>
  <si>
    <t>76% off</t>
  </si>
  <si>
    <t>3.4</t>
  </si>
  <si>
    <t>1754309619-19</t>
  </si>
  <si>
    <t>1754309621-20</t>
  </si>
  <si>
    <t>1754309624-21</t>
  </si>
  <si>
    <t>Oxygreenplant Clove Plant</t>
  </si>
  <si>
    <t>Oxygreenplant Clove Plant  (Hybrid, Pack of 1)</t>
  </si>
  <si>
    <t>₹367</t>
  </si>
  <si>
    <t>₹264</t>
  </si>
  <si>
    <t>28% off</t>
  </si>
  <si>
    <t>1754309626-22</t>
  </si>
  <si>
    <t>Cloud Farm Baugainvillea Plant</t>
  </si>
  <si>
    <t>Cloud Farm Baugainvillea Plant  (Hybrid, Pack of 1)</t>
  </si>
  <si>
    <t>Type: Fruit</t>
  </si>
  <si>
    <t>1754309629-23</t>
  </si>
  <si>
    <t>₹424</t>
  </si>
  <si>
    <t>15% off</t>
  </si>
  <si>
    <t>1754309631-24</t>
  </si>
  <si>
    <t>₹359</t>
  </si>
  <si>
    <t>20% off</t>
  </si>
  <si>
    <t>1754309634-25</t>
  </si>
  <si>
    <t>₹316</t>
  </si>
  <si>
    <t>₹196</t>
  </si>
  <si>
    <t>37% off</t>
  </si>
  <si>
    <t>2.8</t>
  </si>
  <si>
    <t>SKYTCOM</t>
  </si>
  <si>
    <t>1754309636-26</t>
  </si>
  <si>
    <t>ABEFARIYA Clove Plant</t>
  </si>
  <si>
    <t>ABEFARIYA Clove Plant  (Hybrid, Pack of 1)</t>
  </si>
  <si>
    <t>₹599</t>
  </si>
  <si>
    <t>₹134</t>
  </si>
  <si>
    <t>77% off</t>
  </si>
  <si>
    <t>3.5</t>
  </si>
  <si>
    <t>1754309638-27</t>
  </si>
  <si>
    <t>87% off</t>
  </si>
  <si>
    <t>Storynursery</t>
  </si>
  <si>
    <t>1754309641-28</t>
  </si>
  <si>
    <t>AloGardening Rubber Tree</t>
  </si>
  <si>
    <t>AloGardening Rubber Tree  (Hybrid, Pack of 1)</t>
  </si>
  <si>
    <t>₹233</t>
  </si>
  <si>
    <t>Suitable Location: Indoor, Outdoor</t>
  </si>
  <si>
    <t>RoyANDRoyTraders</t>
  </si>
  <si>
    <t>1754309643-29</t>
  </si>
  <si>
    <t>25% off</t>
  </si>
  <si>
    <t>1754309646-30</t>
  </si>
  <si>
    <t>₹426</t>
  </si>
  <si>
    <t>4.2</t>
  </si>
  <si>
    <t>1754309648-31</t>
  </si>
  <si>
    <t>areca palm Areca Palm</t>
  </si>
  <si>
    <t>areca palm Areca Palm  (Hybrid, Pack of 1)</t>
  </si>
  <si>
    <t>₹495</t>
  </si>
  <si>
    <t>₹155</t>
  </si>
  <si>
    <t>68% off</t>
  </si>
  <si>
    <t>Suitable Location: Indoor &amp; Outdoor, Indoor, Outdoor</t>
  </si>
  <si>
    <t>CuteLittleTrees</t>
  </si>
  <si>
    <t>1754309651-32</t>
  </si>
  <si>
    <t>1754309653-33</t>
  </si>
  <si>
    <t>1754309656-34</t>
  </si>
  <si>
    <t>₹445</t>
  </si>
  <si>
    <t>24% off</t>
  </si>
  <si>
    <t>1754309658-35</t>
  </si>
  <si>
    <t>₹137</t>
  </si>
  <si>
    <t>2.4</t>
  </si>
  <si>
    <t>PSGARDEN</t>
  </si>
  <si>
    <t>1754309661-36</t>
  </si>
  <si>
    <t>GreenyOn Clove Plant</t>
  </si>
  <si>
    <t>GreenyOn Clove Plant  (Hybrid, Pack of 1)</t>
  </si>
  <si>
    <t>Hadiqa</t>
  </si>
  <si>
    <t>1754309663-37</t>
  </si>
  <si>
    <t>GreensFord ZZ Plant</t>
  </si>
  <si>
    <t>GreensFord ZZ Plant  (Hybrid, Pack of 1)</t>
  </si>
  <si>
    <t>₹200</t>
  </si>
  <si>
    <t>49% off</t>
  </si>
  <si>
    <t>Roofgardens</t>
  </si>
  <si>
    <t>1754309666-38</t>
  </si>
  <si>
    <t>Globalplants Areca Palm</t>
  </si>
  <si>
    <t>Globalplants Areca Palm  (Hybrid, Pack of 1)</t>
  </si>
  <si>
    <t>₹369</t>
  </si>
  <si>
    <t>₹215</t>
  </si>
  <si>
    <t>41% off</t>
  </si>
  <si>
    <t>ALOCHUZ</t>
  </si>
  <si>
    <t>1754309668-39</t>
  </si>
  <si>
    <t>₹331</t>
  </si>
  <si>
    <t>33% off</t>
  </si>
  <si>
    <t>4.1</t>
  </si>
  <si>
    <t>1754309671-40</t>
  </si>
  <si>
    <t>UGAOO Jade Plant  (Pack of 1)</t>
  </si>
  <si>
    <t>₹325</t>
  </si>
  <si>
    <t>6% off</t>
  </si>
  <si>
    <t>1754309676-41</t>
  </si>
  <si>
    <t>Cloud Farm Pistachio Plant</t>
  </si>
  <si>
    <t>Cloud Farm Pistachio Plant  (Hybrid, Pack of 1)</t>
  </si>
  <si>
    <t>70% off</t>
  </si>
  <si>
    <t>1754309678-42</t>
  </si>
  <si>
    <t>UGAOO Jade Plant, Variegated Money Plant, Golden Money ...</t>
  </si>
  <si>
    <t>UGAOO Jade Plant, Variegated Money Plant, Golden Money Plant, Two Layer Bamboo Plant  (Pack of 4)</t>
  </si>
  <si>
    <t>₹1,999</t>
  </si>
  <si>
    <t>₹1,011</t>
  </si>
  <si>
    <t>1754309681-43</t>
  </si>
  <si>
    <t>1754309684-44</t>
  </si>
  <si>
    <t>1754309686-45</t>
  </si>
  <si>
    <t>Oxygreenplant Anthurium Plant</t>
  </si>
  <si>
    <t>Oxygreenplant Anthurium Plant  (Hybrid, Pack of 1)</t>
  </si>
  <si>
    <t>₹351</t>
  </si>
  <si>
    <t>₹198</t>
  </si>
  <si>
    <t>43% off</t>
  </si>
  <si>
    <t>1754309689-46</t>
  </si>
  <si>
    <t>sspykrts Ficus Bonsai</t>
  </si>
  <si>
    <t>sspykrts Ficus Bonsai  (Hybrid, Pack of 1)</t>
  </si>
  <si>
    <t>₹149</t>
  </si>
  <si>
    <t>2.2</t>
  </si>
  <si>
    <t>AYUSHGREENNURSERY</t>
  </si>
  <si>
    <t>1754309691-47</t>
  </si>
  <si>
    <t>UGAOO Areca Palm</t>
  </si>
  <si>
    <t>UGAOO Areca Palm  (Hybrid, Pack of 1)</t>
  </si>
  <si>
    <t>₹799</t>
  </si>
  <si>
    <t>₹454</t>
  </si>
  <si>
    <t>1754309694-48</t>
  </si>
  <si>
    <t>₹188</t>
  </si>
  <si>
    <t>1.7</t>
  </si>
  <si>
    <t>TheEntacloo</t>
  </si>
  <si>
    <t>1754309696-49</t>
  </si>
  <si>
    <t>1754309699-50</t>
  </si>
  <si>
    <t>1754309701-51</t>
  </si>
  <si>
    <t>ABEFARIYA Areca Palm, Areca Palm</t>
  </si>
  <si>
    <t>ABEFARIYA Areca Palm, Areca Palm  (Hybrid, Pack of 1)</t>
  </si>
  <si>
    <t>₹1,482</t>
  </si>
  <si>
    <t>1754309704-52</t>
  </si>
  <si>
    <t>₹132</t>
  </si>
  <si>
    <t>73% off</t>
  </si>
  <si>
    <t>CloudFarming</t>
  </si>
  <si>
    <t>1754309706-53</t>
  </si>
  <si>
    <t>1754309709-54</t>
  </si>
  <si>
    <t>1754309711-55</t>
  </si>
  <si>
    <t>₹398</t>
  </si>
  <si>
    <t>₹216</t>
  </si>
  <si>
    <t>45% off</t>
  </si>
  <si>
    <t>1754309713-56</t>
  </si>
  <si>
    <t>FSK Clove Plant</t>
  </si>
  <si>
    <t>FSK Clove Plant  (Hybrid, Pack of 1)</t>
  </si>
  <si>
    <t>₹144</t>
  </si>
  <si>
    <t>2.6</t>
  </si>
  <si>
    <t>1754309716-57</t>
  </si>
  <si>
    <t>Cloud Farm ZZ Plant</t>
  </si>
  <si>
    <t>Cloud Farm ZZ Plant  (Hybrid, Pack of 1)</t>
  </si>
  <si>
    <t>51% off</t>
  </si>
  <si>
    <t>1754309719-58</t>
  </si>
  <si>
    <t>PB REBA PLANT Areca Plam</t>
  </si>
  <si>
    <t>PB REBA PLANT Areca Plam  (Hybrid, Pack of 1)</t>
  </si>
  <si>
    <t>₹165</t>
  </si>
  <si>
    <t>58% off</t>
  </si>
  <si>
    <t>UkandaGaarden</t>
  </si>
  <si>
    <t>1754309721-59</t>
  </si>
  <si>
    <t>1754309724-60</t>
  </si>
  <si>
    <t>1754309726-61</t>
  </si>
  <si>
    <t>Oxygreenplant ZZ Plant</t>
  </si>
  <si>
    <t>Oxygreenplant ZZ Plant  (Hybrid, Pack of 1)</t>
  </si>
  <si>
    <t>₹189</t>
  </si>
  <si>
    <t>1754309729-62</t>
  </si>
  <si>
    <t>₹1,250</t>
  </si>
  <si>
    <t>MALLICKENTERPRISES0</t>
  </si>
  <si>
    <t>1754309731-63</t>
  </si>
  <si>
    <t>1754309734-64</t>
  </si>
  <si>
    <t>1754309736-65</t>
  </si>
  <si>
    <t>LituGarden</t>
  </si>
  <si>
    <t>1754309739-66</t>
  </si>
  <si>
    <t>NDS Areca Palm</t>
  </si>
  <si>
    <t>NDS Areca Palm  (Hybrid, Pack of 1)</t>
  </si>
  <si>
    <t>₹370</t>
  </si>
  <si>
    <t>RIMARDMISTU</t>
  </si>
  <si>
    <t>1754309741-67</t>
  </si>
  <si>
    <t>1754309743-68</t>
  </si>
  <si>
    <t>FasonGreen Areca Palm</t>
  </si>
  <si>
    <t>FasonGreen Areca Palm  (Hybrid, Pack of 1)</t>
  </si>
  <si>
    <t>1754309746-69</t>
  </si>
  <si>
    <t>1754309748-70</t>
  </si>
  <si>
    <t>1754309751-71</t>
  </si>
  <si>
    <t>PLANTTOOZS China Palm Plant</t>
  </si>
  <si>
    <t>PLANTTOOZS China Palm Plant  (Hybrid, Pack of 2)</t>
  </si>
  <si>
    <t>59% off</t>
  </si>
  <si>
    <t>Twinkleplanting</t>
  </si>
  <si>
    <t>1754309753-72</t>
  </si>
  <si>
    <t>pb mandira plant Areca Palm</t>
  </si>
  <si>
    <t>pb mandira plant Areca Palm  (Hybrid, Pack of 175)</t>
  </si>
  <si>
    <t>₹277</t>
  </si>
  <si>
    <t>30% off</t>
  </si>
  <si>
    <t>PBMANDIRAPLANT</t>
  </si>
  <si>
    <t>1754309756-73</t>
  </si>
  <si>
    <t>1754309758-74</t>
  </si>
  <si>
    <t>1754309761-75</t>
  </si>
  <si>
    <t>₹1,493</t>
  </si>
  <si>
    <t>1754309763-76</t>
  </si>
  <si>
    <t>AloGardening Areca Palm</t>
  </si>
  <si>
    <t>AloGardening Areca Palm  (Hybrid, Pack of 1)</t>
  </si>
  <si>
    <t>₹207</t>
  </si>
  <si>
    <t>1754309766-77</t>
  </si>
  <si>
    <t>ABC Areca Palm</t>
  </si>
  <si>
    <t>ABC Areca Palm  (Pack of 1)</t>
  </si>
  <si>
    <t>₹300</t>
  </si>
  <si>
    <t>1.8</t>
  </si>
  <si>
    <t>NarumanamGarden</t>
  </si>
  <si>
    <t>1754309768-78</t>
  </si>
  <si>
    <t>pb mandira plant Areca Palm  (Hybrid, Pack of 1)</t>
  </si>
  <si>
    <t>₹224</t>
  </si>
  <si>
    <t>1754309771-79</t>
  </si>
  <si>
    <t>1754309773-80</t>
  </si>
  <si>
    <t>1754309779-81</t>
  </si>
  <si>
    <t>Darjeeling Planters Jackfruit Plant</t>
  </si>
  <si>
    <t>Darjeeling Planters Jackfruit Plant  (Hybrid, Pack of 1)</t>
  </si>
  <si>
    <t>3.1</t>
  </si>
  <si>
    <t>Barhloew</t>
  </si>
  <si>
    <t>1754309782-82</t>
  </si>
  <si>
    <t>KPL BERRY PLANT Blackberry Lily Plant</t>
  </si>
  <si>
    <t>KPL BERRY PLANT Blackberry Lily Plant  (Hybrid, Pack of 1)</t>
  </si>
  <si>
    <t>₹899</t>
  </si>
  <si>
    <t>₹146</t>
  </si>
  <si>
    <t>2.3</t>
  </si>
  <si>
    <t>GREENOFGREEN</t>
  </si>
  <si>
    <t>1754309784-83</t>
  </si>
  <si>
    <t>1754309787-84</t>
  </si>
  <si>
    <t>1754309790-85</t>
  </si>
  <si>
    <t>MAHAMAYA A TO Z Tuberose/Rajnigandha Plant</t>
  </si>
  <si>
    <t>MAHAMAYA A TO Z Tuberose/Rajnigandha Plant  (Hybrid, Pack of 4)</t>
  </si>
  <si>
    <t>₹1,033</t>
  </si>
  <si>
    <t>₹140</t>
  </si>
  <si>
    <t>86% off</t>
  </si>
  <si>
    <t>Type: Flower</t>
  </si>
  <si>
    <t>1754309792-86</t>
  </si>
  <si>
    <t>KPL SWEET BASIL Sweet Basil Plant</t>
  </si>
  <si>
    <t>KPL SWEET BASIL Sweet Basil Plant  (Hybrid, Pack of 1)</t>
  </si>
  <si>
    <t>₹700</t>
  </si>
  <si>
    <t>78% off</t>
  </si>
  <si>
    <t>Type: Tree</t>
  </si>
  <si>
    <t>1754309795-87</t>
  </si>
  <si>
    <t>greenhousestore Portulaca Plant</t>
  </si>
  <si>
    <t>greenhousestore Portulaca Plant  (Hybrid, Pack of 1)</t>
  </si>
  <si>
    <t>75% off</t>
  </si>
  <si>
    <t>1</t>
  </si>
  <si>
    <t>Antraskh</t>
  </si>
  <si>
    <t>1754309798-88</t>
  </si>
  <si>
    <t>Mohomaya Custard Apple Plant</t>
  </si>
  <si>
    <t>Mohomaya Custard Apple Plant  (Pack of 1)</t>
  </si>
  <si>
    <t>₹182</t>
  </si>
  <si>
    <t>54% off</t>
  </si>
  <si>
    <t>1.9</t>
  </si>
  <si>
    <t>1754309801-89</t>
  </si>
  <si>
    <t>1754309803-90</t>
  </si>
  <si>
    <t>1754309806-91</t>
  </si>
  <si>
    <t>Samarthgreens Apple Plant</t>
  </si>
  <si>
    <t>Samarthgreens Apple Plant  (Hybrid, Pack of 1)</t>
  </si>
  <si>
    <t>1754309808-92</t>
  </si>
  <si>
    <t>e generix Betel Nut/Supari Plant</t>
  </si>
  <si>
    <t>e generix Betel Nut/Supari Plant  (Hybrid, Pack of 2)</t>
  </si>
  <si>
    <t>₹167</t>
  </si>
  <si>
    <t>44% off</t>
  </si>
  <si>
    <t>THEGREENDOTCOM</t>
  </si>
  <si>
    <t>1754309811-93</t>
  </si>
  <si>
    <t>1754309813-94</t>
  </si>
  <si>
    <t>1754309816-95</t>
  </si>
  <si>
    <t>CHILLATAI Lily Plant</t>
  </si>
  <si>
    <t>CHILLATAI Lily Plant  (Pack of 1)</t>
  </si>
  <si>
    <t>₹1,489</t>
  </si>
  <si>
    <t>₹528</t>
  </si>
  <si>
    <t>64% off</t>
  </si>
  <si>
    <t>CHILLATAI</t>
  </si>
  <si>
    <t>1754309818-96</t>
  </si>
  <si>
    <t>GULMOHAR Royal Poinciana Plant</t>
  </si>
  <si>
    <t>GULMOHAR Royal Poinciana Plant  (Hybrid, Pack of 1)</t>
  </si>
  <si>
    <t>₹181</t>
  </si>
  <si>
    <t>1754309821-97</t>
  </si>
  <si>
    <t>Cloud Farm Dragon Tree</t>
  </si>
  <si>
    <t>Cloud Farm Dragon Tree  (Hybrid, Pack of 1)</t>
  </si>
  <si>
    <t>₹147</t>
  </si>
  <si>
    <t>26% off</t>
  </si>
  <si>
    <t>1754309824-98</t>
  </si>
  <si>
    <t>Aquinnah Chiku Plant</t>
  </si>
  <si>
    <t>Aquinnah Chiku Plant  (Hybrid, Pack of 1)</t>
  </si>
  <si>
    <t>72% off</t>
  </si>
  <si>
    <t>OxygenCart</t>
  </si>
  <si>
    <t>1754309826-99</t>
  </si>
  <si>
    <t>1754309829-100</t>
  </si>
  <si>
    <t>1754309831-101</t>
  </si>
  <si>
    <t>Cloud Farm Jackfruit Plant</t>
  </si>
  <si>
    <t>Cloud Farm Jackfruit Plant  (Hybrid, Pack of 1)</t>
  </si>
  <si>
    <t>63% off</t>
  </si>
  <si>
    <t>3.3</t>
  </si>
  <si>
    <t>1754309833-102</t>
  </si>
  <si>
    <t>HERBALISM Jaboticaba Plant</t>
  </si>
  <si>
    <t>HERBALISM Jaboticaba Plant  (Pack of 1)</t>
  </si>
  <si>
    <t>₹999</t>
  </si>
  <si>
    <t>₹492</t>
  </si>
  <si>
    <t>1754309836-103</t>
  </si>
  <si>
    <t>1754309839-104</t>
  </si>
  <si>
    <t>1754309841-105</t>
  </si>
  <si>
    <t>langda mango Mango Plant</t>
  </si>
  <si>
    <t>langda mango Mango Plant  (Hybrid, Pack of 1)</t>
  </si>
  <si>
    <t>₹191</t>
  </si>
  <si>
    <t>23% off</t>
  </si>
  <si>
    <t>RUFLEF</t>
  </si>
  <si>
    <t>1754309844-106</t>
  </si>
  <si>
    <t>Tha live root hanging jelly Indian Snakeroot Plant</t>
  </si>
  <si>
    <t>Tha live root hanging jelly Indian Snakeroot Plant  (Hybrid, Pack of 1)</t>
  </si>
  <si>
    <t>₹560</t>
  </si>
  <si>
    <t>₹205</t>
  </si>
  <si>
    <t>shrienterprises01</t>
  </si>
  <si>
    <t>1754309846-107</t>
  </si>
  <si>
    <t>Oxygreenplant Tabebuia rosea</t>
  </si>
  <si>
    <t>Oxygreenplant Tabebuia rosea  (Hybrid, Pack of 1)</t>
  </si>
  <si>
    <t>₹180</t>
  </si>
  <si>
    <t>Matanga</t>
  </si>
  <si>
    <t>1754309849-108</t>
  </si>
  <si>
    <t>Aquinnah Kiwi Plant</t>
  </si>
  <si>
    <t>Aquinnah Kiwi Plant  (Hybrid, Pack of 1)</t>
  </si>
  <si>
    <t>1754309852-109</t>
  </si>
  <si>
    <t>1754309854-110</t>
  </si>
  <si>
    <t>1754309857-111</t>
  </si>
  <si>
    <t>Cloud Farm Rosemary Plant</t>
  </si>
  <si>
    <t>Cloud Farm Rosemary Plant  (Hybrid, Pack of 1)</t>
  </si>
  <si>
    <t>₹172</t>
  </si>
  <si>
    <t>65% off</t>
  </si>
  <si>
    <t>1754309859-112</t>
  </si>
  <si>
    <t>LaughEarth Lemon Plant</t>
  </si>
  <si>
    <t>LaughEarth Lemon Plant  (Hybrid, Pack of 1)</t>
  </si>
  <si>
    <t>₹130</t>
  </si>
  <si>
    <t>AFARTIOBINA</t>
  </si>
  <si>
    <t>1754309861-113</t>
  </si>
  <si>
    <t>1754309864-114</t>
  </si>
  <si>
    <t>1754309866-115</t>
  </si>
  <si>
    <t>Jiffy Plants Curtain Creeper Plant</t>
  </si>
  <si>
    <t>Jiffy Plants Curtain Creeper Plant  (Pack of 1)</t>
  </si>
  <si>
    <t>₹253</t>
  </si>
  <si>
    <t>3.7</t>
  </si>
  <si>
    <t>Type: Creepers and Climbers</t>
  </si>
  <si>
    <t>JiffyPlants</t>
  </si>
  <si>
    <t>1754309869-116</t>
  </si>
  <si>
    <t>BDSresolve Sarpagandha Plant</t>
  </si>
  <si>
    <t>BDSresolve Sarpagandha Plant  (Hybrid, Pack of 1)</t>
  </si>
  <si>
    <t>82% off</t>
  </si>
  <si>
    <t>NATURESNURSERYY</t>
  </si>
  <si>
    <t>1754309872-117</t>
  </si>
  <si>
    <t>RudraECOM Cherry Fruit Plant</t>
  </si>
  <si>
    <t>RudraECOM Cherry Fruit Plant  (Hybrid, Pack of 1)</t>
  </si>
  <si>
    <t>₹659</t>
  </si>
  <si>
    <t>₹121</t>
  </si>
  <si>
    <t>81% off</t>
  </si>
  <si>
    <t>1754309874-118</t>
  </si>
  <si>
    <t>Greensolution Jade Plant</t>
  </si>
  <si>
    <t>Greensolution Jade Plant  (Hybrid, Pack of 1)</t>
  </si>
  <si>
    <t>57% off</t>
  </si>
  <si>
    <t>SaplingTales</t>
  </si>
  <si>
    <t>1754309877-119</t>
  </si>
  <si>
    <t>1754309879-120</t>
  </si>
  <si>
    <t>1754309884-121</t>
  </si>
  <si>
    <t>Biswas Bloom Rose Plant, Rose Apple Plant</t>
  </si>
  <si>
    <t>Biswas Bloom Rose Plant, Rose Apple Plant  (Hybrid, Pack of 1)</t>
  </si>
  <si>
    <t>₹139</t>
  </si>
  <si>
    <t>53% off</t>
  </si>
  <si>
    <t>Large</t>
  </si>
  <si>
    <t>BREEZYBLOOM</t>
  </si>
  <si>
    <t>1754309887-122</t>
  </si>
  <si>
    <t>FSK Kiwi Plant</t>
  </si>
  <si>
    <t>FSK Kiwi Plant  (Hybrid, Pack of 1)</t>
  </si>
  <si>
    <t>CultivaEnterprise</t>
  </si>
  <si>
    <t>1754309889-123</t>
  </si>
  <si>
    <t>1754309892-124</t>
  </si>
  <si>
    <t>1754309894-125</t>
  </si>
  <si>
    <t>Risenshine Curry Leaf Plant</t>
  </si>
  <si>
    <t>Risenshine Curry Leaf Plant  (Pack of 1)</t>
  </si>
  <si>
    <t>1754309897-126</t>
  </si>
  <si>
    <t>₹158</t>
  </si>
  <si>
    <t>47% off</t>
  </si>
  <si>
    <t>1754309899-127</t>
  </si>
  <si>
    <t>LATOSTAZAS Litchi Plant</t>
  </si>
  <si>
    <t>LATOSTAZAS Litchi Plant  (Hybrid, Pack of 1)</t>
  </si>
  <si>
    <t>₹210</t>
  </si>
  <si>
    <t>3.2</t>
  </si>
  <si>
    <t>NALQUITS</t>
  </si>
  <si>
    <t>1754309902-128</t>
  </si>
  <si>
    <t>Gopikananda Berry Plant</t>
  </si>
  <si>
    <t>Gopikananda Berry Plant  (Hybrid, Pack of 1)</t>
  </si>
  <si>
    <t>74% off</t>
  </si>
  <si>
    <t>1754309905-129</t>
  </si>
  <si>
    <t>1754309907-130</t>
  </si>
  <si>
    <t>1754309910-131</t>
  </si>
  <si>
    <t>Ebainz Brazilian Wood</t>
  </si>
  <si>
    <t>Ebainz Brazilian Wood  (Pack of 1)</t>
  </si>
  <si>
    <t>₹1,200</t>
  </si>
  <si>
    <t>₹177</t>
  </si>
  <si>
    <t>85% off</t>
  </si>
  <si>
    <t>1754309912-132</t>
  </si>
  <si>
    <t>EarthAngel Bougainvillea Plant</t>
  </si>
  <si>
    <t>EarthAngel Bougainvillea Plant  (Hybrid, Pack of 1)</t>
  </si>
  <si>
    <t>1754309915-133</t>
  </si>
  <si>
    <t>1754309926-134</t>
  </si>
  <si>
    <t>1754309939-135</t>
  </si>
  <si>
    <t>Global Mart Plant Indian Snakeroot Plant</t>
  </si>
  <si>
    <t>Global Mart Plant Indian Snakeroot Plant  (Hybrid, Pack of 1)</t>
  </si>
  <si>
    <t>Digitalgreenpar</t>
  </si>
  <si>
    <t>1754309942-136</t>
  </si>
  <si>
    <t>greenhousestore Golden Champa Plant</t>
  </si>
  <si>
    <t>greenhousestore Golden Champa Plant  (Hybrid, Pack of 1)</t>
  </si>
  <si>
    <t>1754309944-137</t>
  </si>
  <si>
    <t>Heaven Of Saplings Apple Plant</t>
  </si>
  <si>
    <t>Heaven Of Saplings Apple Plant  (Hybrid, Pack of 1)</t>
  </si>
  <si>
    <t>₹385</t>
  </si>
  <si>
    <t>1754309947-138</t>
  </si>
  <si>
    <t>Samarthgreens Banana Plant</t>
  </si>
  <si>
    <t>Samarthgreens Banana Plant  (Hybrid, Pack of 1)</t>
  </si>
  <si>
    <t>1754309949-139</t>
  </si>
  <si>
    <t>1754309952-140</t>
  </si>
  <si>
    <t>1754309954-141</t>
  </si>
  <si>
    <t>Cloud Farm Pomegranate Plant</t>
  </si>
  <si>
    <t>Cloud Farm Pomegranate Plant  (Hybrid, Pack of 1)</t>
  </si>
  <si>
    <t>1754309957-142</t>
  </si>
  <si>
    <t>Cloud Farm Walnut Plant</t>
  </si>
  <si>
    <t>Cloud Farm Walnut Plant  (Hybrid, Pack of 1)</t>
  </si>
  <si>
    <t>1754309960-143</t>
  </si>
  <si>
    <t>1754309962-144</t>
  </si>
  <si>
    <t>1754309964-145</t>
  </si>
  <si>
    <t>DOOR TO GARDEN Bay Leaf Plant</t>
  </si>
  <si>
    <t>DOOR TO GARDEN Bay Leaf Plant  (Hybrid, Pack of 1)</t>
  </si>
  <si>
    <t>₹419</t>
  </si>
  <si>
    <t>₹231</t>
  </si>
  <si>
    <t>3.9</t>
  </si>
  <si>
    <t>GARDEN CARE</t>
  </si>
  <si>
    <t>1754309967-146</t>
  </si>
  <si>
    <t>PlantNature Guava Plant</t>
  </si>
  <si>
    <t>PlantNature Guava Plant  (Hybrid, Pack of 1)</t>
  </si>
  <si>
    <t>₹128</t>
  </si>
  <si>
    <t>1754309969-147</t>
  </si>
  <si>
    <t>amloki Amla Plant</t>
  </si>
  <si>
    <t>amloki Amla Plant  (Hybrid, Pack of 1)</t>
  </si>
  <si>
    <t>₹500</t>
  </si>
  <si>
    <t>₹123</t>
  </si>
  <si>
    <t>1754309972-148</t>
  </si>
  <si>
    <t>suvo nursary Duranta Plant</t>
  </si>
  <si>
    <t>suvo nursary Duranta Plant  (Hybrid, Pack of 1)</t>
  </si>
  <si>
    <t>₹859</t>
  </si>
  <si>
    <t>₹161</t>
  </si>
  <si>
    <t>MINATITRADERS</t>
  </si>
  <si>
    <t>1754309975-149</t>
  </si>
  <si>
    <t>1754309977-150</t>
  </si>
  <si>
    <t>1754309980-151</t>
  </si>
  <si>
    <t>ABEFARIYA Bougainvillea Plant</t>
  </si>
  <si>
    <t>ABEFARIYA Bougainvillea Plant  (Hybrid, Pack of 1)</t>
  </si>
  <si>
    <t>₹1,420</t>
  </si>
  <si>
    <t>90% off</t>
  </si>
  <si>
    <t>HORTILIFE</t>
  </si>
  <si>
    <t>1754309982-152</t>
  </si>
  <si>
    <t>LATOSTAZAS Lemon Plant</t>
  </si>
  <si>
    <t>LATOSTAZAS Lemon Plant  (Hybrid, Pack of 1)</t>
  </si>
  <si>
    <t>₹699</t>
  </si>
  <si>
    <t>1754309985-153</t>
  </si>
  <si>
    <t>1754309987-154</t>
  </si>
  <si>
    <t>1754309990-155</t>
  </si>
  <si>
    <t>Aquinnah Areca Palm</t>
  </si>
  <si>
    <t>Aquinnah Areca Palm  (Hybrid, Pack of 1)</t>
  </si>
  <si>
    <t>1754309992-156</t>
  </si>
  <si>
    <t>Aquinnah Graden Bella Palm Plant</t>
  </si>
  <si>
    <t>Aquinnah Graden Bella Palm Plant  (Hybrid, Pack of 1)</t>
  </si>
  <si>
    <t>₹489</t>
  </si>
  <si>
    <t>61% off</t>
  </si>
  <si>
    <t>3.8</t>
  </si>
  <si>
    <t>Homegraden</t>
  </si>
  <si>
    <t>1754309995-157</t>
  </si>
  <si>
    <t>greenhousestore Crassula Plant</t>
  </si>
  <si>
    <t>greenhousestore Crassula Plant  (Hybrid, Pack of 1)</t>
  </si>
  <si>
    <t>62% off</t>
  </si>
  <si>
    <t>PBEVERGREEN</t>
  </si>
  <si>
    <t>1754309999-158</t>
  </si>
  <si>
    <t>greenhousestore Bel Plant</t>
  </si>
  <si>
    <t>greenhousestore Bel Plant  (Hybrid, Pack of 1)</t>
  </si>
  <si>
    <t>1754310002-159</t>
  </si>
  <si>
    <t>1754310004-160</t>
  </si>
  <si>
    <t>1754310010-161</t>
  </si>
  <si>
    <t>Ukanda Litchi Plant</t>
  </si>
  <si>
    <t>Ukanda Litchi Plant  (Hybrid, Pack of 1)</t>
  </si>
  <si>
    <t>₹389</t>
  </si>
  <si>
    <t>1754310012-162</t>
  </si>
  <si>
    <t>greengrow Baleria Plant</t>
  </si>
  <si>
    <t>greengrow Baleria Plant  (Pack of 1)</t>
  </si>
  <si>
    <t>₹590</t>
  </si>
  <si>
    <t>1754310015-163</t>
  </si>
  <si>
    <t>1754310017-164</t>
  </si>
  <si>
    <t>1754310020-165</t>
  </si>
  <si>
    <t>Cloud Farm Almond Plant</t>
  </si>
  <si>
    <t>Cloud Farm Almond Plant  (Hybrid, Pack of 1)</t>
  </si>
  <si>
    <t>1754310022-166</t>
  </si>
  <si>
    <t>DAIVISH Guava Plant</t>
  </si>
  <si>
    <t>DAIVISH Guava Plant  (Pack of 1)</t>
  </si>
  <si>
    <t>60% off</t>
  </si>
  <si>
    <t>DaivishNursery</t>
  </si>
  <si>
    <t>1754310025-167</t>
  </si>
  <si>
    <t>Samarthgreens Shami/Jand Plant</t>
  </si>
  <si>
    <t>Samarthgreens Shami/Jand Plant  (Hybrid, Pack of 1)</t>
  </si>
  <si>
    <t>1754310028-168</t>
  </si>
  <si>
    <t>AquinnahGaden Dragon Tree</t>
  </si>
  <si>
    <t>AquinnahGaden Dragon Tree  (Hybrid, Pack of 3)</t>
  </si>
  <si>
    <t>1754310030-169</t>
  </si>
  <si>
    <t>1754310033-170</t>
  </si>
  <si>
    <t>1754310036-171</t>
  </si>
  <si>
    <t>FSK Betel Nut/Supari Plant</t>
  </si>
  <si>
    <t>FSK Betel Nut/Supari Plant  (Hybrid, Pack of 1)</t>
  </si>
  <si>
    <t>1754310047-172</t>
  </si>
  <si>
    <t>Ayansh Plants Sudarshan Medicinal Plant (Pack of 1, Her...</t>
  </si>
  <si>
    <t>Ayansh Plants Sudarshan Medicinal Plant (Pack of 1, Herb)  (Hybrid, Pack of 1)</t>
  </si>
  <si>
    <t>₹256</t>
  </si>
  <si>
    <t>₹193</t>
  </si>
  <si>
    <t>1754310051-173</t>
  </si>
  <si>
    <t>1754310054-174</t>
  </si>
  <si>
    <t>1754310056-175</t>
  </si>
  <si>
    <t>AAM Mango Plant</t>
  </si>
  <si>
    <t>AAM Mango Plant  (Hybrid, Pack of 1)</t>
  </si>
  <si>
    <t>₹600</t>
  </si>
  <si>
    <t>5</t>
  </si>
  <si>
    <t>1754310059-176</t>
  </si>
  <si>
    <t>Global Mart Plant Insulin Plant</t>
  </si>
  <si>
    <t>Global Mart Plant Insulin Plant  (Hybrid, Pack of 2)</t>
  </si>
  <si>
    <t>1.6</t>
  </si>
  <si>
    <t>1754310061-177</t>
  </si>
  <si>
    <t>DEBNATH Brahma Kamal Plant</t>
  </si>
  <si>
    <t>DEBNATH Brahma Kamal Plant  (Hybrid, Pack of 1)</t>
  </si>
  <si>
    <t>₹249</t>
  </si>
  <si>
    <t>₹230</t>
  </si>
  <si>
    <t>7% off</t>
  </si>
  <si>
    <t>1754310064-178</t>
  </si>
  <si>
    <t>PLANTTOOZS Shami/Jand Plant</t>
  </si>
  <si>
    <t>PLANTTOOZS Shami/Jand Plant  (Pack of 1)</t>
  </si>
  <si>
    <t>1754310066-179</t>
  </si>
  <si>
    <t>1754310069-180</t>
  </si>
  <si>
    <t>1754310071-181</t>
  </si>
  <si>
    <t>Cloud Farm Ashok Plant</t>
  </si>
  <si>
    <t>Cloud Farm Ashok Plant  (Hybrid, Pack of 1)</t>
  </si>
  <si>
    <t>1754310074-182</t>
  </si>
  <si>
    <t>Global Mart Plant Mini Brazalian wood</t>
  </si>
  <si>
    <t>Global Mart Plant Mini Brazalian wood  (Hybrid, Pack of 2)</t>
  </si>
  <si>
    <t>₹170</t>
  </si>
  <si>
    <t>1754310078-183</t>
  </si>
  <si>
    <t>1754310081-184</t>
  </si>
  <si>
    <t>1754310086-185</t>
  </si>
  <si>
    <t>UGAOO Aralia Plant</t>
  </si>
  <si>
    <t>UGAOO Aralia Plant  (Hybrid, Pack of 1)</t>
  </si>
  <si>
    <t>₹392</t>
  </si>
  <si>
    <t>21% off</t>
  </si>
  <si>
    <t>1754310089-186</t>
  </si>
  <si>
    <t>PLANTTOOZS Red Sandalwood Plant</t>
  </si>
  <si>
    <t>PLANTTOOZS Red Sandalwood Plant  (Hybrid, Pack of 1)</t>
  </si>
  <si>
    <t>₹661</t>
  </si>
  <si>
    <t>1754310094-187</t>
  </si>
  <si>
    <t>Unisam Bel patra plant Pot Bel Plant</t>
  </si>
  <si>
    <t>Unisam Bel patra plant Pot Bel Plant  (Hybrid, Pack of 1)</t>
  </si>
  <si>
    <t>₹788</t>
  </si>
  <si>
    <t>Greentropical</t>
  </si>
  <si>
    <t>1754310097-188</t>
  </si>
  <si>
    <t>PLANTTOOZS Apple Plant</t>
  </si>
  <si>
    <t>PLANTTOOZS Apple Plant  (Hybrid, Pack of 1)</t>
  </si>
  <si>
    <t>₹323</t>
  </si>
  <si>
    <t>₹162</t>
  </si>
  <si>
    <t>Tukitu</t>
  </si>
  <si>
    <t>1754310101-189</t>
  </si>
  <si>
    <t>1754310105-190</t>
  </si>
  <si>
    <t>1754310109-191</t>
  </si>
  <si>
    <t>MAITRA AND SONS Betel Nut/Supari Plant</t>
  </si>
  <si>
    <t>MAITRA AND SONS Betel Nut/Supari Plant  (Hybrid, Pack of 1)</t>
  </si>
  <si>
    <t>1754310116-192</t>
  </si>
  <si>
    <t>Barhloew Rasna Plant</t>
  </si>
  <si>
    <t>Barhloew Rasna Plant  (Hybrid, Pack of 1)</t>
  </si>
  <si>
    <t>₹279</t>
  </si>
  <si>
    <t>1754310119-193</t>
  </si>
  <si>
    <t>1754310122-194</t>
  </si>
  <si>
    <t>1754310125-195</t>
  </si>
  <si>
    <t>MAITRA AND SONS Avocado Plant</t>
  </si>
  <si>
    <t>MAITRA AND SONS Avocado Plant  (Hybrid, Pack of 1)</t>
  </si>
  <si>
    <t>1754310129-196</t>
  </si>
  <si>
    <t>Plant Paradise Rudraksha Plant</t>
  </si>
  <si>
    <t>Plant Paradise Rudraksha Plant  (Hybrid, Pack of 1)</t>
  </si>
  <si>
    <t>₹176</t>
  </si>
  <si>
    <t>1754310134-197</t>
  </si>
  <si>
    <t>FarmStorey Echeveria Plant, Sedum Plant</t>
  </si>
  <si>
    <t>FarmStorey Echeveria Plant, Sedum Plant  (Hybrid, Pack of 20)</t>
  </si>
  <si>
    <t>₹994</t>
  </si>
  <si>
    <t>FarmStorey</t>
  </si>
  <si>
    <t>1754310140-198</t>
  </si>
  <si>
    <t>MAITRA AND SONS Peace Lily Plant</t>
  </si>
  <si>
    <t>MAITRA AND SONS Peace Lily Plant  (Hybrid, Pack of 1)</t>
  </si>
  <si>
    <t>MAITRAANDSONS</t>
  </si>
  <si>
    <t>1754310142-199</t>
  </si>
  <si>
    <t>1754310147-200</t>
  </si>
  <si>
    <t>1754310154-201</t>
  </si>
  <si>
    <t>LaughEarth Custard Apple Plant</t>
  </si>
  <si>
    <t>LaughEarth Custard Apple Plant  (Hybrid, Pack of 1)</t>
  </si>
  <si>
    <t>1754310157-202</t>
  </si>
  <si>
    <t>RUKDA Aloe Vera Plant</t>
  </si>
  <si>
    <t>RUKDA Aloe Vera Plant  (Pack of 2)</t>
  </si>
  <si>
    <t>₹1,000</t>
  </si>
  <si>
    <t>1754310159-203</t>
  </si>
  <si>
    <t>1754310163-204</t>
  </si>
  <si>
    <t>1754310165-205</t>
  </si>
  <si>
    <t>Mohomaya Mango Plant</t>
  </si>
  <si>
    <t>Mohomaya Mango Plant  (Hybrid, Pack of 1)</t>
  </si>
  <si>
    <t>₹270</t>
  </si>
  <si>
    <t>1754310168-206</t>
  </si>
  <si>
    <t>Cloud Farm Pear Plant</t>
  </si>
  <si>
    <t>Cloud Farm Pear Plant  (Hybrid, Pack of 1)</t>
  </si>
  <si>
    <t>₹157</t>
  </si>
  <si>
    <t>1754310170-207</t>
  </si>
  <si>
    <t>AloGardening Mango Plant</t>
  </si>
  <si>
    <t>AloGardening Mango Plant  (Hybrid, Pack of 1)</t>
  </si>
  <si>
    <t>1754310173-208</t>
  </si>
  <si>
    <t>MondallNursery Oxalis</t>
  </si>
  <si>
    <t>MondallNursery Oxalis  (Hybrid, Pack of 1)</t>
  </si>
  <si>
    <t>1754310175-209</t>
  </si>
  <si>
    <t>1754310178-210</t>
  </si>
  <si>
    <t>1754310180-211</t>
  </si>
  <si>
    <t>₹220</t>
  </si>
  <si>
    <t>SRDEWAN</t>
  </si>
  <si>
    <t>1754310183-212</t>
  </si>
  <si>
    <t>Oxygreenplant Shahtoot/Mulberry Plant</t>
  </si>
  <si>
    <t>Oxygreenplant Shahtoot/Mulberry Plant  (Hybrid, Pack of 1)</t>
  </si>
  <si>
    <t>1754310185-213</t>
  </si>
  <si>
    <t>1754310188-214</t>
  </si>
  <si>
    <t>1754310190-215</t>
  </si>
  <si>
    <t>Click to purchase Madhu Kamini Plant</t>
  </si>
  <si>
    <t>Click to purchase Madhu Kamini Plant  (Hybrid, Pack of 1)</t>
  </si>
  <si>
    <t>1754310193-216</t>
  </si>
  <si>
    <t>Aquinnah Black Pepper Plant</t>
  </si>
  <si>
    <t>Aquinnah Black Pepper Plant  (Hybrid, Pack of 1)</t>
  </si>
  <si>
    <t>1754310195-217</t>
  </si>
  <si>
    <t>Krishna all time mango plant Mango Plant</t>
  </si>
  <si>
    <t>Krishna all time mango plant Mango Plant  (Hybrid, Pack of 2)</t>
  </si>
  <si>
    <t>₹595</t>
  </si>
  <si>
    <t>1754310198-218</t>
  </si>
  <si>
    <t>Gabbro Crasulla Ovata Plant</t>
  </si>
  <si>
    <t>Gabbro Crasulla Ovata Plant  (Pack of 1)</t>
  </si>
  <si>
    <t>₹222</t>
  </si>
  <si>
    <t>Gabbro</t>
  </si>
  <si>
    <t>1754310200-219</t>
  </si>
  <si>
    <t>1754310203-220</t>
  </si>
  <si>
    <t>1754310205-221</t>
  </si>
  <si>
    <t>Mohomaya Hibiscus Plant</t>
  </si>
  <si>
    <t>Mohomaya Hibiscus Plant  (Hybrid, Pack of 1)</t>
  </si>
  <si>
    <t>₹283</t>
  </si>
  <si>
    <t>GLOBQRO</t>
  </si>
  <si>
    <t>1754310208-222</t>
  </si>
  <si>
    <t>greenhousestore Coconut Plant</t>
  </si>
  <si>
    <t>greenhousestore Coconut Plant  (Hybrid, Pack of 1)</t>
  </si>
  <si>
    <t>1754310210-223</t>
  </si>
  <si>
    <t>1754310213-224</t>
  </si>
  <si>
    <t>1754310215-225</t>
  </si>
  <si>
    <t>Aquinnah Nutmeg Plant</t>
  </si>
  <si>
    <t>Aquinnah Nutmeg Plant  (Hybrid, Pack of 1)</t>
  </si>
  <si>
    <t>Agacha</t>
  </si>
  <si>
    <t>1754310219-226</t>
  </si>
  <si>
    <t>Greenium Aglaonema Plant</t>
  </si>
  <si>
    <t>Greenium Aglaonema Plant  (Hybrid, Pack of 1)</t>
  </si>
  <si>
    <t>₹212</t>
  </si>
  <si>
    <t>Greenium</t>
  </si>
  <si>
    <t>1754310222-227</t>
  </si>
  <si>
    <t>greenhousestore Cashew Apple Plant</t>
  </si>
  <si>
    <t>greenhousestore Cashew Apple Plant  (Hybrid, Pack of 1)</t>
  </si>
  <si>
    <t>₹598</t>
  </si>
  <si>
    <t>1754310224-228</t>
  </si>
  <si>
    <t>pomgardening Apple Plant</t>
  </si>
  <si>
    <t>pomgardening Apple Plant  (Hybrid, Pack of 1)</t>
  </si>
  <si>
    <t>₹759</t>
  </si>
  <si>
    <t>₹120</t>
  </si>
  <si>
    <t>84% off</t>
  </si>
  <si>
    <t>Sarkarplantenterprise</t>
  </si>
  <si>
    <t>1754310227-229</t>
  </si>
  <si>
    <t>1754310229-230</t>
  </si>
  <si>
    <t>1754310232-231</t>
  </si>
  <si>
    <t>Agroholic Traders Money Plant</t>
  </si>
  <si>
    <t>Agroholic Traders Money Plant  (Pack of 1)</t>
  </si>
  <si>
    <t>₹490</t>
  </si>
  <si>
    <t>MAQINPLANTHOUSE</t>
  </si>
  <si>
    <t>1754310234-232</t>
  </si>
  <si>
    <t>HYBRID Jambu Bira Plant, Kak Jam Plant, Jamun Plant, Wh...</t>
  </si>
  <si>
    <t>HYBRID Jambu Bira Plant, Kak Jam Plant, Jamun Plant, White Jamun Plant  (Hybrid, Pack of 1)</t>
  </si>
  <si>
    <t>₹195</t>
  </si>
  <si>
    <t>Suitable Location: Indoor &amp; Outdoor, Outdoor, Indoor</t>
  </si>
  <si>
    <t>1754310237-233</t>
  </si>
  <si>
    <t>1754310239-234</t>
  </si>
  <si>
    <t>1754310242-235</t>
  </si>
  <si>
    <t>GreenHavenn Mahogany Plant</t>
  </si>
  <si>
    <t>GreenHavenn Mahogany Plant  (Hybrid, Pack of 3)</t>
  </si>
  <si>
    <t>1754310244-236</t>
  </si>
  <si>
    <t>1754310247-237</t>
  </si>
  <si>
    <t>UGAOO Snake Plant</t>
  </si>
  <si>
    <t>UGAOO Snake Plant  (Pack of 1)</t>
  </si>
  <si>
    <t>1754310251-238</t>
  </si>
  <si>
    <t>PEEPALSFARM Betel Leaf Plant</t>
  </si>
  <si>
    <t>PEEPALSFARM Betel Leaf Plant  (Hybrid, Pack of 1)</t>
  </si>
  <si>
    <t>67% off</t>
  </si>
  <si>
    <t>1754310253-239</t>
  </si>
  <si>
    <t>1754310256-240</t>
  </si>
  <si>
    <t>1754310261-241</t>
  </si>
  <si>
    <t>Cloud Farm Clove Plant  (Hybrid, Pack of 5)</t>
  </si>
  <si>
    <t>1754310263-242</t>
  </si>
  <si>
    <t>1754310266-243</t>
  </si>
  <si>
    <t>1754310268-244</t>
  </si>
  <si>
    <t>1754310271-245</t>
  </si>
  <si>
    <t>Cloud Farm Jade Plant</t>
  </si>
  <si>
    <t>Cloud Farm Jade Plant  (Hybrid, Pack of 1)</t>
  </si>
  <si>
    <t>1754310274-246</t>
  </si>
  <si>
    <t>1.5</t>
  </si>
  <si>
    <t>MiracleGardenn</t>
  </si>
  <si>
    <t>1754310276-247</t>
  </si>
  <si>
    <t>1754310278-248</t>
  </si>
  <si>
    <t>₹290</t>
  </si>
  <si>
    <t>27% off</t>
  </si>
  <si>
    <t>1754310282-249</t>
  </si>
  <si>
    <t>1754310284-250</t>
  </si>
  <si>
    <t>1754310287-251</t>
  </si>
  <si>
    <t>₹339</t>
  </si>
  <si>
    <t>₹217</t>
  </si>
  <si>
    <t>35% off</t>
  </si>
  <si>
    <t>PLANTTOOZS</t>
  </si>
  <si>
    <t>1754310290-252</t>
  </si>
  <si>
    <t>GreenyOn ZZ Plant</t>
  </si>
  <si>
    <t>GreenyOn ZZ Plant  (Hybrid, Pack of 1)</t>
  </si>
  <si>
    <t>EarthAngel</t>
  </si>
  <si>
    <t>1754310292-253</t>
  </si>
  <si>
    <t>1754310295-254</t>
  </si>
  <si>
    <t>1754310297-255</t>
  </si>
  <si>
    <t>Augadh Orange Plant</t>
  </si>
  <si>
    <t>Augadh Orange Plant  (Hybrid, Pack of 1)</t>
  </si>
  <si>
    <t>1754310300-256</t>
  </si>
  <si>
    <t>My Dream Nursery Syngonium Plant</t>
  </si>
  <si>
    <t>My Dream Nursery Syngonium Plant  (Hybrid, Pack of 1)</t>
  </si>
  <si>
    <t>1754310303-257</t>
  </si>
  <si>
    <t>1754310305-258</t>
  </si>
  <si>
    <t>1754310308-259</t>
  </si>
  <si>
    <t>1754310311-260</t>
  </si>
  <si>
    <t>1754310313-261</t>
  </si>
  <si>
    <t>1754310315-262</t>
  </si>
  <si>
    <t>1754310318-263</t>
  </si>
  <si>
    <t>1754310320-264</t>
  </si>
  <si>
    <t>1754310323-265</t>
  </si>
  <si>
    <t>UGAOO Two Layer Bamboo Plant</t>
  </si>
  <si>
    <t>UGAOO Two Layer Bamboo Plant  (Pack of 1)</t>
  </si>
  <si>
    <t>₹310</t>
  </si>
  <si>
    <t>1754310326-266</t>
  </si>
  <si>
    <t>Oaul Store Areca Plam</t>
  </si>
  <si>
    <t>Oaul Store Areca Plam  (Hybrid, Pack of 1)</t>
  </si>
  <si>
    <t>₹357</t>
  </si>
  <si>
    <t>NirmalNursery</t>
  </si>
  <si>
    <t>1754310328-267</t>
  </si>
  <si>
    <t>MATARANURSERY Agarwood Plant</t>
  </si>
  <si>
    <t>MATARANURSERY Agarwood Plant  (Hybrid, Pack of 1)</t>
  </si>
  <si>
    <t>1754310331-268</t>
  </si>
  <si>
    <t>Flipkart SmartBuy Two Layer Bamboo Plant</t>
  </si>
  <si>
    <t>Flipkart SmartBuy Two Layer Bamboo Plant  (Hybrid, Pack of 1)</t>
  </si>
  <si>
    <t>₹345</t>
  </si>
  <si>
    <t>Suitable Location: Indoor &amp; Outdoor, Indoor</t>
  </si>
  <si>
    <t>AGAMI</t>
  </si>
  <si>
    <t>1754310334-269</t>
  </si>
  <si>
    <t>1754310336-270</t>
  </si>
  <si>
    <t>1754310339-271</t>
  </si>
  <si>
    <t>Cloud Farm Platycladus/Morpankhi Plant</t>
  </si>
  <si>
    <t>Cloud Farm Platycladus/Morpankhi Plant  (Hybrid, Pack of 2)</t>
  </si>
  <si>
    <t>₹203</t>
  </si>
  <si>
    <t>1754310342-272</t>
  </si>
  <si>
    <t>DRACENAPLANT RAJDHANINURSERY Dracaena Plant</t>
  </si>
  <si>
    <t>DRACENAPLANT RAJDHANINURSERY Dracaena Plant  (Hybrid, Pack of 1)</t>
  </si>
  <si>
    <t>₹800</t>
  </si>
  <si>
    <t>1754310344-273</t>
  </si>
  <si>
    <t>1754310347-274</t>
  </si>
  <si>
    <t>1754310349-275</t>
  </si>
  <si>
    <t>Decorate The World Areca Palm</t>
  </si>
  <si>
    <t>Decorate The World Areca Palm  (Hybrid, Pack of 1)</t>
  </si>
  <si>
    <t>₹151</t>
  </si>
  <si>
    <t>1754310352-276</t>
  </si>
  <si>
    <t>1754310354-277</t>
  </si>
  <si>
    <t>Exotica HRMN Grafted Apple Plant</t>
  </si>
  <si>
    <t>Exotica HRMN Grafted Apple Plant  (Hybrid, Pack of 1)</t>
  </si>
  <si>
    <t>1754310357-278</t>
  </si>
  <si>
    <t>Cloud Farm Apple Plant</t>
  </si>
  <si>
    <t>Cloud Farm Apple Plant  (Hybrid, Pack of 1)</t>
  </si>
  <si>
    <t>1754310360-279</t>
  </si>
  <si>
    <t>1754310362-280</t>
  </si>
  <si>
    <t>1754310368-281</t>
  </si>
  <si>
    <t>Risenshine ZZ Plant</t>
  </si>
  <si>
    <t>Risenshine ZZ Plant  (Hybrid, Pack of 1)</t>
  </si>
  <si>
    <t>₹159</t>
  </si>
  <si>
    <t>AredalosGarden</t>
  </si>
  <si>
    <t>1754310370-282</t>
  </si>
  <si>
    <t>₹380</t>
  </si>
  <si>
    <t>36% off</t>
  </si>
  <si>
    <t>1754310373-283</t>
  </si>
  <si>
    <t>APOSOLUARD Baugainvillea Plant</t>
  </si>
  <si>
    <t>APOSOLUARD Baugainvillea Plant  (Hybrid, Pack of 1)</t>
  </si>
  <si>
    <t>₹491</t>
  </si>
  <si>
    <t>4.5</t>
  </si>
  <si>
    <t>APOSOLUARD</t>
  </si>
  <si>
    <t>1754310375-284</t>
  </si>
  <si>
    <t>1754310378-285</t>
  </si>
  <si>
    <t>₹945</t>
  </si>
  <si>
    <t>1754310380-286</t>
  </si>
  <si>
    <t>UGAOO Three Layer Bamboo Plant</t>
  </si>
  <si>
    <t>UGAOO Three Layer Bamboo Plant  (Pack of 1)</t>
  </si>
  <si>
    <t>1754310383-287</t>
  </si>
  <si>
    <t>Cloud Farm Grapes Plant</t>
  </si>
  <si>
    <t>Cloud Farm Grapes Plant  (Hybrid, Pack of 1)</t>
  </si>
  <si>
    <t>1754310386-288</t>
  </si>
  <si>
    <t>Cloud Farm Orange Plant</t>
  </si>
  <si>
    <t>Cloud Farm Orange Plant  (Hybrid, Pack of 1)</t>
  </si>
  <si>
    <t>1754310388-289</t>
  </si>
  <si>
    <t>1754310391-290</t>
  </si>
  <si>
    <t>1754310393-291</t>
  </si>
  <si>
    <t>Aquinnah ZZ Plant</t>
  </si>
  <si>
    <t>Aquinnah ZZ Plant  (Hybrid, Pack of 2)</t>
  </si>
  <si>
    <t>1754310396-292</t>
  </si>
  <si>
    <t>Cloud Farm Guava Plant</t>
  </si>
  <si>
    <t>Cloud Farm Guava Plant  (Hybrid, Pack of 2)</t>
  </si>
  <si>
    <t>1754310398-293</t>
  </si>
  <si>
    <t>1754310401-294</t>
  </si>
  <si>
    <t>1754310403-295</t>
  </si>
  <si>
    <t>Cloud Farm Grapes Plant  (Hybrid, Pack of 3)</t>
  </si>
  <si>
    <t>1754310406-296</t>
  </si>
  <si>
    <t>Cloud Farm Hibiscus Plant</t>
  </si>
  <si>
    <t>Cloud Farm Hibiscus Plant  (Hybrid, Pack of 3)</t>
  </si>
  <si>
    <t>1754310408-297</t>
  </si>
  <si>
    <t>Cloud Farm Strawberry Plant</t>
  </si>
  <si>
    <t>Cloud Farm Strawberry Plant  (Hybrid, Pack of 1)</t>
  </si>
  <si>
    <t>1754310411-298</t>
  </si>
  <si>
    <t>LivePlant Syngonium Plant</t>
  </si>
  <si>
    <t>LivePlant Syngonium Plant  (Pack of 2)</t>
  </si>
  <si>
    <t>2.1</t>
  </si>
  <si>
    <t>1754310413-299</t>
  </si>
  <si>
    <t>1754310416-300</t>
  </si>
  <si>
    <t>1754310418-301</t>
  </si>
  <si>
    <t>1754310421-302</t>
  </si>
  <si>
    <t>1754310424-303</t>
  </si>
  <si>
    <t>1754310426-304</t>
  </si>
  <si>
    <t>1754310429-305</t>
  </si>
  <si>
    <t>1754310431-306</t>
  </si>
  <si>
    <t>1754310434-307</t>
  </si>
  <si>
    <t>Cloud Farm Parijat/Harsingar Plant</t>
  </si>
  <si>
    <t>Cloud Farm Parijat/Harsingar Plant  (Hybrid, Pack of 1)</t>
  </si>
  <si>
    <t>1754310436-308</t>
  </si>
  <si>
    <t>1754310439-309</t>
  </si>
  <si>
    <t>1754310442-310</t>
  </si>
  <si>
    <t>1754310444-311</t>
  </si>
  <si>
    <t>Suitable Location: Indoor &amp; Outdoor, Outdoor</t>
  </si>
  <si>
    <t>1754310447-312</t>
  </si>
  <si>
    <t>1754310449-313</t>
  </si>
  <si>
    <t>1754310452-314</t>
  </si>
  <si>
    <t>1754310454-315</t>
  </si>
  <si>
    <t>Suitable Location: Indoor, Indoor &amp; Outdoor, Outdoor</t>
  </si>
  <si>
    <t>1754310457-316</t>
  </si>
  <si>
    <t>1754310459-317</t>
  </si>
  <si>
    <t>1754310462-318</t>
  </si>
  <si>
    <t>1754310464-319</t>
  </si>
  <si>
    <t>1754310467-320</t>
  </si>
  <si>
    <t>1754310473-321</t>
  </si>
  <si>
    <t>1754310475-322</t>
  </si>
  <si>
    <t>1754310478-323</t>
  </si>
  <si>
    <t>GLOBQRO Grape Plant</t>
  </si>
  <si>
    <t>GLOBQRO Grape Plant  (Hybrid, Pack of 1)</t>
  </si>
  <si>
    <t>₹622</t>
  </si>
  <si>
    <t>₹116</t>
  </si>
  <si>
    <t>1754310480-324</t>
  </si>
  <si>
    <t>1754310483-325</t>
  </si>
  <si>
    <t>AloGardening Shahtoot/Mulberry Plant</t>
  </si>
  <si>
    <t>AloGardening Shahtoot/Mulberry Plant  (Hybrid, Pack of 1)</t>
  </si>
  <si>
    <t>₹379</t>
  </si>
  <si>
    <t>1754310485-326</t>
  </si>
  <si>
    <t>1754310488-327</t>
  </si>
  <si>
    <t>1754310491-328</t>
  </si>
  <si>
    <t>1754310493-329</t>
  </si>
  <si>
    <t>1754310496-330</t>
  </si>
  <si>
    <t>1754310498-331</t>
  </si>
  <si>
    <t>1754310501-332</t>
  </si>
  <si>
    <t>1754310504-333</t>
  </si>
  <si>
    <t>1754310506-334</t>
  </si>
  <si>
    <t>1754310509-335</t>
  </si>
  <si>
    <t>1754310511-336</t>
  </si>
  <si>
    <t>Cloud Farm Grapes Plant  (Hybrid, Pack of 2)</t>
  </si>
  <si>
    <t>1754310514-337</t>
  </si>
  <si>
    <t>1.1</t>
  </si>
  <si>
    <t>1754310516-338</t>
  </si>
  <si>
    <t>1754310519-339</t>
  </si>
  <si>
    <t>1754310521-340</t>
  </si>
  <si>
    <t>1754310524-341</t>
  </si>
  <si>
    <t>AloGardening Guava Plant</t>
  </si>
  <si>
    <t>AloGardening Guava Plant  (Hybrid, Pack of 1)</t>
  </si>
  <si>
    <t>₹211</t>
  </si>
  <si>
    <t>1754310527-342</t>
  </si>
  <si>
    <t>1754310529-343</t>
  </si>
  <si>
    <t>1754310532-344</t>
  </si>
  <si>
    <t>1754310534-345</t>
  </si>
  <si>
    <t>1754310537-346</t>
  </si>
  <si>
    <t>1754310539-347</t>
  </si>
  <si>
    <t>GIRISHA TRADERS Two Layer Bamboo Plant, Lucky Bamboo St...</t>
  </si>
  <si>
    <t>GIRISHA TRADERS Two Layer Bamboo Plant, Lucky Bamboo Straight Stick, Dracaena Plant  (Pack of 1)</t>
  </si>
  <si>
    <t>NiMoj</t>
  </si>
  <si>
    <t>1754310542-348</t>
  </si>
  <si>
    <t>Cloud Farm Tulsi Plant</t>
  </si>
  <si>
    <t>Cloud Farm Tulsi Plant  (Hybrid, Pack of 2)</t>
  </si>
  <si>
    <t>1754310544-349</t>
  </si>
  <si>
    <t>1754310547-350</t>
  </si>
  <si>
    <t>1754310549-351</t>
  </si>
  <si>
    <t>Cloud Farm Kiwi Plant</t>
  </si>
  <si>
    <t>Cloud Farm Kiwi Plant  (Hybrid, Pack of 2)</t>
  </si>
  <si>
    <t>1754310552-352</t>
  </si>
  <si>
    <t>Cloud Farm Peace Lily Plant</t>
  </si>
  <si>
    <t>Cloud Farm Peace Lily Plant  (Hybrid, Pack of 2)</t>
  </si>
  <si>
    <t>1754310554-353</t>
  </si>
  <si>
    <t>1754310557-354</t>
  </si>
  <si>
    <t>1754310559-355</t>
  </si>
  <si>
    <t>Real Nature Two Layer Bamboo Plant</t>
  </si>
  <si>
    <t>Real Nature Two Layer Bamboo Plant  (Pack of 1)</t>
  </si>
  <si>
    <t>₹297</t>
  </si>
  <si>
    <t>RealNature1</t>
  </si>
  <si>
    <t>1754310562-356</t>
  </si>
  <si>
    <t>Cloud Farm Ficus Plant</t>
  </si>
  <si>
    <t>Cloud Farm Ficus Plant  (Hybrid, Pack of 1)</t>
  </si>
  <si>
    <t>1754310565-357</t>
  </si>
  <si>
    <t>GrowWithUs Clitoria Ternatea Aparajita Plant, Clitoria ...</t>
  </si>
  <si>
    <t>GrowWithUs Clitoria Ternatea Aparajita Plant, Clitoria Ternatea Aparajita Plant  (Hybrid, Pack of 1)</t>
  </si>
  <si>
    <t>LaxmiMatanursery</t>
  </si>
  <si>
    <t>1754310567-358</t>
  </si>
  <si>
    <t>1754310570-359</t>
  </si>
  <si>
    <t>1754310572-360</t>
  </si>
  <si>
    <t>1754310578-361</t>
  </si>
  <si>
    <t>1754310580-362</t>
  </si>
  <si>
    <t>1754310583-363</t>
  </si>
  <si>
    <t>1754310586-364</t>
  </si>
  <si>
    <t>1754310588-365</t>
  </si>
  <si>
    <t>1754310591-366</t>
  </si>
  <si>
    <t>1754310593-367</t>
  </si>
  <si>
    <t>Cloud Farm Kiwi Plant  (Hybrid, Pack of 1)</t>
  </si>
  <si>
    <t>1754310596-368</t>
  </si>
  <si>
    <t>1754310598-369</t>
  </si>
  <si>
    <t>1754310601-370</t>
  </si>
  <si>
    <t>1754310604-371</t>
  </si>
  <si>
    <t>Cloud Farm Jack Fruit Plant</t>
  </si>
  <si>
    <t>Cloud Farm Jack Fruit Plant  (Hybrid, Pack of 1)</t>
  </si>
  <si>
    <t>1754310606-372</t>
  </si>
  <si>
    <t>Cloud Farm Hibiscus Plant  (Hybrid, Pack of 4)</t>
  </si>
  <si>
    <t>1754310609-373</t>
  </si>
  <si>
    <t>1754310611-374</t>
  </si>
  <si>
    <t>1754310614-375</t>
  </si>
  <si>
    <t>Gabbro Two Layer Bamboo Plant</t>
  </si>
  <si>
    <t>Gabbro Two Layer Bamboo Plant  (Hybrid, Pack of 1)</t>
  </si>
  <si>
    <t>₹1,099</t>
  </si>
  <si>
    <t>1754310616-376</t>
  </si>
  <si>
    <t>1754310619-377</t>
  </si>
  <si>
    <t>AMBRUZZ Rose Plant</t>
  </si>
  <si>
    <t>AMBRUZZ Rose Plant  (Hybrid, Pack of 4)</t>
  </si>
  <si>
    <t>Asvora</t>
  </si>
  <si>
    <t>1754310622-378</t>
  </si>
  <si>
    <t>1754310631-379</t>
  </si>
  <si>
    <t>1754310641-380</t>
  </si>
  <si>
    <t>1754310646-381</t>
  </si>
  <si>
    <t>Hot Climate Apple Plant</t>
  </si>
  <si>
    <t>Hot Climate Apple Plant  (Hybrid, Pack of 1)</t>
  </si>
  <si>
    <t>₹579</t>
  </si>
  <si>
    <t>1754310648-382</t>
  </si>
  <si>
    <t>Cloud Farm Guava Plant  (Hybrid, Pack of 1)</t>
  </si>
  <si>
    <t>1754310655-383</t>
  </si>
  <si>
    <t>1754310657-384</t>
  </si>
  <si>
    <t>1754310661-385</t>
  </si>
  <si>
    <t>AloGardening Adenium Plant</t>
  </si>
  <si>
    <t>AloGardening Adenium Plant  (Hybrid, Pack of 6)</t>
  </si>
  <si>
    <t>₹789</t>
  </si>
  <si>
    <t>₹286</t>
  </si>
  <si>
    <t>1754310664-386</t>
  </si>
  <si>
    <t>1754310669-387</t>
  </si>
  <si>
    <t>Mohomaya Star Fruit Carambola Grafted Plant</t>
  </si>
  <si>
    <t>Mohomaya Star Fruit Carambola Grafted Plant  (Hybrid, Pack of 1)</t>
  </si>
  <si>
    <t>₹998</t>
  </si>
  <si>
    <t>GOPANURSERY</t>
  </si>
  <si>
    <t>1754310682-388</t>
  </si>
  <si>
    <t>Risenshine Apple Plant</t>
  </si>
  <si>
    <t>Risenshine Apple Plant  (Hybrid, Pack of 1)</t>
  </si>
  <si>
    <t>1754310685-389</t>
  </si>
  <si>
    <t>1754310687-390</t>
  </si>
  <si>
    <t>1754310689-391</t>
  </si>
  <si>
    <t>₹400</t>
  </si>
  <si>
    <t>1754310693-392</t>
  </si>
  <si>
    <t>1754310696-393</t>
  </si>
  <si>
    <t>1754310699-394</t>
  </si>
  <si>
    <t>PLANTTOOZS Rose Plant</t>
  </si>
  <si>
    <t>PLANTTOOZS Rose Plant  (Hybrid, Pack of 1)</t>
  </si>
  <si>
    <t>1754310702-395</t>
  </si>
  <si>
    <t>1754310704-396</t>
  </si>
  <si>
    <t>1754310707-397</t>
  </si>
  <si>
    <t>1754310709-398</t>
  </si>
  <si>
    <t>SKDIYA Money Plant</t>
  </si>
  <si>
    <t>SKDIYA Money Plant  (Hybrid, Pack of 1)</t>
  </si>
  <si>
    <t>RIDHIMAHALDER</t>
  </si>
  <si>
    <t>1754310712-399</t>
  </si>
  <si>
    <t>1754310715-400</t>
  </si>
  <si>
    <t>1754310717-401</t>
  </si>
  <si>
    <t>1754310723-402</t>
  </si>
  <si>
    <t>1754310726-403</t>
  </si>
  <si>
    <t>1754310728-404</t>
  </si>
  <si>
    <t>1754310731-405</t>
  </si>
  <si>
    <t>1754310733-406</t>
  </si>
  <si>
    <t>1754310736-407</t>
  </si>
  <si>
    <t>1754310738-408</t>
  </si>
  <si>
    <t>1754310741-409</t>
  </si>
  <si>
    <t>1754310743-410</t>
  </si>
  <si>
    <t>1754310746-411</t>
  </si>
  <si>
    <t>1754310748-412</t>
  </si>
  <si>
    <t>1754310756-413</t>
  </si>
  <si>
    <t>1754310758-414</t>
  </si>
  <si>
    <t>1754310761-415</t>
  </si>
  <si>
    <t>1754310764-416</t>
  </si>
  <si>
    <t>1754310767-417</t>
  </si>
  <si>
    <t>1754310769-418</t>
  </si>
  <si>
    <t>1754310772-419</t>
  </si>
  <si>
    <t>1754310775-420</t>
  </si>
  <si>
    <t>1754310777-421</t>
  </si>
  <si>
    <t>1754310780-422</t>
  </si>
  <si>
    <t>1754310782-423</t>
  </si>
  <si>
    <t>1754310785-424</t>
  </si>
  <si>
    <t>1754310796-425</t>
  </si>
  <si>
    <t>1754310799-426</t>
  </si>
  <si>
    <t>1754310801-427</t>
  </si>
  <si>
    <t>1754310804-428</t>
  </si>
  <si>
    <t>1754310806-429</t>
  </si>
  <si>
    <t>1754310809-430</t>
  </si>
  <si>
    <t>1754310811-431</t>
  </si>
  <si>
    <t>1754310814-432</t>
  </si>
  <si>
    <t>1754310816-433</t>
  </si>
  <si>
    <t>1754310819-434</t>
  </si>
  <si>
    <t>1754310824-435</t>
  </si>
  <si>
    <t>1754310842-436</t>
  </si>
  <si>
    <t>1754310853-437</t>
  </si>
  <si>
    <t>1754310856-438</t>
  </si>
  <si>
    <t>1754310859-439</t>
  </si>
  <si>
    <t>1754310861-440</t>
  </si>
  <si>
    <t>ID</t>
  </si>
  <si>
    <t>PLANT-DATA</t>
  </si>
  <si>
    <t>SUM</t>
  </si>
  <si>
    <t>MAX DISCOUNT</t>
  </si>
  <si>
    <t xml:space="preserve"> Bonsai</t>
  </si>
  <si>
    <t xml:space="preserve"> Shrub</t>
  </si>
  <si>
    <t xml:space="preserve"> Herb</t>
  </si>
  <si>
    <t xml:space="preserve"> Succulent</t>
  </si>
  <si>
    <t xml:space="preserve"> Air purifier plant</t>
  </si>
  <si>
    <t xml:space="preserve"> Foliage</t>
  </si>
  <si>
    <t xml:space="preserve"> Bamboo</t>
  </si>
  <si>
    <t xml:space="preserve"> Fruit</t>
  </si>
  <si>
    <t xml:space="preserve"> Flower</t>
  </si>
  <si>
    <t xml:space="preserve"> Tree</t>
  </si>
  <si>
    <t xml:space="preserve"> Creepers and Climbers</t>
  </si>
  <si>
    <t xml:space="preserve"> Outdoor</t>
  </si>
  <si>
    <t xml:space="preserve"> Indoor</t>
  </si>
  <si>
    <t xml:space="preserve"> Indoor, Outdoor</t>
  </si>
  <si>
    <t>indoor \outdoor</t>
  </si>
  <si>
    <t>indoor \outdoor, Outdoor, Indoor</t>
  </si>
  <si>
    <t>indoor \outdoor, Indoor</t>
  </si>
  <si>
    <t>indoor \outdoor, Outdoor</t>
  </si>
  <si>
    <t xml:space="preserve"> Indoor,indoor \outdoor, Outdoor</t>
  </si>
  <si>
    <t>mean</t>
  </si>
  <si>
    <t>median</t>
  </si>
  <si>
    <t>mode</t>
  </si>
  <si>
    <t>Row Labels</t>
  </si>
  <si>
    <t>Grand Total</t>
  </si>
  <si>
    <t>Count of ID</t>
  </si>
  <si>
    <t>Column1</t>
  </si>
  <si>
    <t>Mean</t>
  </si>
  <si>
    <t>Standard Error</t>
  </si>
  <si>
    <t>Median</t>
  </si>
  <si>
    <t>Mode</t>
  </si>
  <si>
    <t>Standard Deviation</t>
  </si>
  <si>
    <t>Sample Variance</t>
  </si>
  <si>
    <t>Kurtosis</t>
  </si>
  <si>
    <t>Skewness</t>
  </si>
  <si>
    <t>Range</t>
  </si>
  <si>
    <t>Minimum</t>
  </si>
  <si>
    <t>Maximum</t>
  </si>
  <si>
    <t>Sum</t>
  </si>
  <si>
    <t>Count</t>
  </si>
  <si>
    <t>Confidence Level(95.0%)</t>
  </si>
  <si>
    <t>special price</t>
  </si>
  <si>
    <t>feng shui</t>
  </si>
  <si>
    <t>No</t>
  </si>
  <si>
    <t>Yes</t>
  </si>
  <si>
    <t>Average of SPECIAL PRICE</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</si>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</sst>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theme="1"/>
      <name val="Calibri"/>
      <family val="2"/>
      <scheme val="minor"/>
    </font>
    <font>
      <sz val="11"/>
      <color theme="1"/>
      <name val="Calibri"/>
      <family val="2"/>
      <scheme val="minor"/>
    </font>
    <font>
      <b/>
      <sz val="12"/>
      <color theme="1"/>
      <name val="Calibri"/>
      <family val="2"/>
      <scheme val="minor"/>
    </font>
    <font>
      <i/>
      <sz val="12"/>
      <color theme="1"/>
      <name val="Calibri"/>
      <family val="2"/>
      <scheme val="minor"/>
    </font>
    <font>
      <sz val="14"/>
      <color theme="1"/>
      <name val="Calibri"/>
      <family val="2"/>
      <scheme val="minor"/>
    </font>
    <font>
      <sz val="14"/>
      <color theme="1"/>
      <name val="Calibri"/>
      <family val="2"/>
    </font>
  </fonts>
  <fills count="4">
    <fill>
      <patternFill patternType="none"/>
    </fill>
    <fill>
      <patternFill patternType="gray125"/>
    </fill>
    <fill>
      <patternFill patternType="solid">
        <fgColor theme="5" tint="0.59999389629810485"/>
        <bgColor indexed="65"/>
      </patternFill>
    </fill>
    <fill>
      <patternFill patternType="solid">
        <fgColor rgb="FFCC99FF"/>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1" fillId="2" borderId="0" applyNumberFormat="0" applyBorder="0" applyAlignment="0" applyProtection="0"/>
  </cellStyleXfs>
  <cellXfs count="19">
    <xf numFmtId="0" fontId="0" fillId="0" borderId="0" xfId="0"/>
    <xf numFmtId="49" fontId="0" fillId="0" borderId="0" xfId="0" applyNumberFormat="1"/>
    <xf numFmtId="2" fontId="0" fillId="0" borderId="0" xfId="0" applyNumberFormat="1"/>
    <xf numFmtId="2" fontId="0" fillId="0" borderId="0" xfId="0" applyNumberFormat="1" applyAlignment="1">
      <alignment horizontal="right"/>
    </xf>
    <xf numFmtId="9" fontId="0" fillId="0" borderId="0" xfId="0" applyNumberFormat="1"/>
    <xf numFmtId="9" fontId="0" fillId="0" borderId="0" xfId="0" applyNumberFormat="1" applyAlignment="1">
      <alignment horizontal="center"/>
    </xf>
    <xf numFmtId="164" fontId="0" fillId="0" borderId="0" xfId="0" applyNumberFormat="1"/>
    <xf numFmtId="2" fontId="0" fillId="0" borderId="0" xfId="0" applyNumberFormat="1" applyAlignment="1">
      <alignment horizontal="left"/>
    </xf>
    <xf numFmtId="0" fontId="0" fillId="0" borderId="0" xfId="0" pivotButton="1"/>
    <xf numFmtId="0" fontId="0" fillId="0" borderId="0" xfId="0" applyAlignment="1">
      <alignment horizontal="left"/>
    </xf>
    <xf numFmtId="0" fontId="0" fillId="0" borderId="0" xfId="0" applyNumberFormat="1"/>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Continuous"/>
    </xf>
    <xf numFmtId="0" fontId="2" fillId="0" borderId="2" xfId="0" applyFont="1" applyFill="1" applyBorder="1" applyAlignment="1">
      <alignment horizontal="center"/>
    </xf>
    <xf numFmtId="0" fontId="0" fillId="0" borderId="2" xfId="0" applyFont="1" applyFill="1" applyBorder="1" applyAlignment="1">
      <alignment horizontal="centerContinuous"/>
    </xf>
    <xf numFmtId="49" fontId="4" fillId="2" borderId="0" xfId="1" applyNumberFormat="1" applyFont="1" applyAlignment="1">
      <alignment horizontal="center"/>
    </xf>
    <xf numFmtId="49" fontId="5" fillId="0" borderId="0" xfId="0" applyNumberFormat="1" applyFont="1" applyAlignment="1">
      <alignment horizontal="center"/>
    </xf>
    <xf numFmtId="0" fontId="0" fillId="3" borderId="0" xfId="0" applyFill="1"/>
  </cellXfs>
  <cellStyles count="2">
    <cellStyle name="40% - Accent2" xfId="1" builtinId="35"/>
    <cellStyle name="Normal" xfId="0" builtinId="0"/>
  </cellStyles>
  <dxfs count="0"/>
  <tableStyles count="0" defaultTableStyle="TableStyleMedium9" defaultPivotStyle="PivotStyleLight16"/>
  <colors>
    <mruColors>
      <color rgb="FF800080"/>
      <color rgb="FFCC99FF"/>
      <color rgb="FFCC66FF"/>
      <color rgb="FF660066"/>
      <color rgb="FFFF6699"/>
      <color rgb="FF996633"/>
      <color rgb="FFCC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(1).xlsx]plant size!PivotTable3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 size'!$B$3</c:f>
              <c:strCache>
                <c:ptCount val="1"/>
                <c:pt idx="0">
                  <c:v>Total</c:v>
                </c:pt>
              </c:strCache>
            </c:strRef>
          </c:tx>
          <c:spPr>
            <a:solidFill>
              <a:schemeClr val="accent1"/>
            </a:solidFill>
            <a:ln>
              <a:noFill/>
            </a:ln>
            <a:effectLst/>
          </c:spPr>
          <c:invertIfNegative val="0"/>
          <c:cat>
            <c:strRef>
              <c:f>'plant size'!$A$4:$A$8</c:f>
              <c:strCache>
                <c:ptCount val="4"/>
                <c:pt idx="1">
                  <c:v>Large</c:v>
                </c:pt>
                <c:pt idx="2">
                  <c:v>Medium</c:v>
                </c:pt>
                <c:pt idx="3">
                  <c:v>Small</c:v>
                </c:pt>
              </c:strCache>
            </c:strRef>
          </c:cat>
          <c:val>
            <c:numRef>
              <c:f>'plant size'!$B$4:$B$8</c:f>
              <c:numCache>
                <c:formatCode>General</c:formatCode>
                <c:ptCount val="4"/>
                <c:pt idx="0">
                  <c:v>2</c:v>
                </c:pt>
                <c:pt idx="1">
                  <c:v>2</c:v>
                </c:pt>
                <c:pt idx="2">
                  <c:v>119</c:v>
                </c:pt>
                <c:pt idx="3">
                  <c:v>317</c:v>
                </c:pt>
              </c:numCache>
            </c:numRef>
          </c:val>
          <c:extLst>
            <c:ext xmlns:c16="http://schemas.microsoft.com/office/drawing/2014/chart" uri="{C3380CC4-5D6E-409C-BE32-E72D297353CC}">
              <c16:uniqueId val="{00000000-5953-4246-B57B-F35C7A5B0C89}"/>
            </c:ext>
          </c:extLst>
        </c:ser>
        <c:dLbls>
          <c:showLegendKey val="0"/>
          <c:showVal val="0"/>
          <c:showCatName val="0"/>
          <c:showSerName val="0"/>
          <c:showPercent val="0"/>
          <c:showBubbleSize val="0"/>
        </c:dLbls>
        <c:gapWidth val="219"/>
        <c:overlap val="-27"/>
        <c:axId val="246237744"/>
        <c:axId val="246232944"/>
      </c:barChart>
      <c:catAx>
        <c:axId val="24623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32944"/>
        <c:crosses val="autoZero"/>
        <c:auto val="1"/>
        <c:lblAlgn val="ctr"/>
        <c:lblOffset val="100"/>
        <c:noMultiLvlLbl val="0"/>
      </c:catAx>
      <c:valAx>
        <c:axId val="24623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3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(1).xlsx]return!PivotTable2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return!$B$3</c:f>
              <c:strCache>
                <c:ptCount val="1"/>
                <c:pt idx="0">
                  <c:v>Total</c:v>
                </c:pt>
              </c:strCache>
            </c:strRef>
          </c:tx>
          <c:dPt>
            <c:idx val="0"/>
            <c:bubble3D val="0"/>
            <c:spPr>
              <a:solidFill>
                <a:schemeClr val="accent1"/>
              </a:solidFill>
              <a:ln w="19050">
                <a:solidFill>
                  <a:schemeClr val="lt1"/>
                </a:solidFill>
              </a:ln>
              <a:effectLst/>
            </c:spPr>
          </c:dPt>
          <c:cat>
            <c:strRef>
              <c:f>return!$A$4:$A$5</c:f>
              <c:strCache>
                <c:ptCount val="1"/>
                <c:pt idx="0">
                  <c:v>No Returns Allowed?</c:v>
                </c:pt>
              </c:strCache>
            </c:strRef>
          </c:cat>
          <c:val>
            <c:numRef>
              <c:f>return!$B$4:$B$5</c:f>
              <c:numCache>
                <c:formatCode>General</c:formatCode>
                <c:ptCount val="1"/>
                <c:pt idx="0">
                  <c:v>440</c:v>
                </c:pt>
              </c:numCache>
            </c:numRef>
          </c:val>
          <c:extLst>
            <c:ext xmlns:c16="http://schemas.microsoft.com/office/drawing/2014/chart" uri="{C3380CC4-5D6E-409C-BE32-E72D297353CC}">
              <c16:uniqueId val="{00000000-B9CE-4058-8537-5217A1EC77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(1).xlsx]feng shui!PivotTable20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'feng shui'!$B$3</c:f>
              <c:strCache>
                <c:ptCount val="1"/>
                <c:pt idx="0">
                  <c:v>Total</c:v>
                </c:pt>
              </c:strCache>
            </c:strRef>
          </c:tx>
          <c:spPr>
            <a:solidFill>
              <a:schemeClr val="accent1"/>
            </a:solidFill>
            <a:ln>
              <a:noFill/>
            </a:ln>
            <a:effectLst/>
          </c:spPr>
          <c:invertIfNegative val="0"/>
          <c:cat>
            <c:strRef>
              <c:f>'feng shui'!$A$4:$A$6</c:f>
              <c:strCache>
                <c:ptCount val="2"/>
                <c:pt idx="0">
                  <c:v>No</c:v>
                </c:pt>
                <c:pt idx="1">
                  <c:v>Yes</c:v>
                </c:pt>
              </c:strCache>
            </c:strRef>
          </c:cat>
          <c:val>
            <c:numRef>
              <c:f>'feng shui'!$B$4:$B$6</c:f>
              <c:numCache>
                <c:formatCode>General</c:formatCode>
                <c:ptCount val="2"/>
                <c:pt idx="0">
                  <c:v>186</c:v>
                </c:pt>
                <c:pt idx="1">
                  <c:v>214</c:v>
                </c:pt>
              </c:numCache>
            </c:numRef>
          </c:val>
          <c:extLst>
            <c:ext xmlns:c16="http://schemas.microsoft.com/office/drawing/2014/chart" uri="{C3380CC4-5D6E-409C-BE32-E72D297353CC}">
              <c16:uniqueId val="{00000000-FB2E-4DD3-AD67-E97D0A519BCF}"/>
            </c:ext>
          </c:extLst>
        </c:ser>
        <c:dLbls>
          <c:showLegendKey val="0"/>
          <c:showVal val="0"/>
          <c:showCatName val="0"/>
          <c:showSerName val="0"/>
          <c:showPercent val="0"/>
          <c:showBubbleSize val="0"/>
        </c:dLbls>
        <c:gapWidth val="219"/>
        <c:overlap val="-27"/>
        <c:axId val="604801520"/>
        <c:axId val="604802480"/>
      </c:barChart>
      <c:catAx>
        <c:axId val="60480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02480"/>
        <c:crosses val="autoZero"/>
        <c:auto val="1"/>
        <c:lblAlgn val="ctr"/>
        <c:lblOffset val="100"/>
        <c:noMultiLvlLbl val="0"/>
      </c:catAx>
      <c:valAx>
        <c:axId val="60480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0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(1).xlsx]plant type!PivotTable19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 type'!$B$3</c:f>
              <c:strCache>
                <c:ptCount val="1"/>
                <c:pt idx="0">
                  <c:v>Total</c:v>
                </c:pt>
              </c:strCache>
            </c:strRef>
          </c:tx>
          <c:spPr>
            <a:solidFill>
              <a:schemeClr val="accent1"/>
            </a:solidFill>
            <a:ln>
              <a:noFill/>
            </a:ln>
            <a:effectLst/>
          </c:spPr>
          <c:invertIfNegative val="0"/>
          <c:cat>
            <c:strRef>
              <c:f>'plant type'!$A$4:$A$15</c:f>
              <c:strCache>
                <c:ptCount val="11"/>
                <c:pt idx="0">
                  <c:v> Air purifier plant</c:v>
                </c:pt>
                <c:pt idx="1">
                  <c:v> Bamboo</c:v>
                </c:pt>
                <c:pt idx="2">
                  <c:v> Bonsai</c:v>
                </c:pt>
                <c:pt idx="3">
                  <c:v> Creepers and Climbers</c:v>
                </c:pt>
                <c:pt idx="4">
                  <c:v> Flower</c:v>
                </c:pt>
                <c:pt idx="5">
                  <c:v> Foliage</c:v>
                </c:pt>
                <c:pt idx="6">
                  <c:v> Fruit</c:v>
                </c:pt>
                <c:pt idx="7">
                  <c:v> Herb</c:v>
                </c:pt>
                <c:pt idx="8">
                  <c:v> Shrub</c:v>
                </c:pt>
                <c:pt idx="9">
                  <c:v> Succulent</c:v>
                </c:pt>
                <c:pt idx="10">
                  <c:v> Tree</c:v>
                </c:pt>
              </c:strCache>
            </c:strRef>
          </c:cat>
          <c:val>
            <c:numRef>
              <c:f>'plant type'!$B$4:$B$15</c:f>
              <c:numCache>
                <c:formatCode>General</c:formatCode>
                <c:ptCount val="11"/>
                <c:pt idx="0">
                  <c:v>14</c:v>
                </c:pt>
                <c:pt idx="1">
                  <c:v>19</c:v>
                </c:pt>
                <c:pt idx="2">
                  <c:v>10</c:v>
                </c:pt>
                <c:pt idx="3">
                  <c:v>1</c:v>
                </c:pt>
                <c:pt idx="4">
                  <c:v>28</c:v>
                </c:pt>
                <c:pt idx="5">
                  <c:v>23</c:v>
                </c:pt>
                <c:pt idx="6">
                  <c:v>100</c:v>
                </c:pt>
                <c:pt idx="7">
                  <c:v>57</c:v>
                </c:pt>
                <c:pt idx="8">
                  <c:v>82</c:v>
                </c:pt>
                <c:pt idx="9">
                  <c:v>95</c:v>
                </c:pt>
                <c:pt idx="10">
                  <c:v>11</c:v>
                </c:pt>
              </c:numCache>
            </c:numRef>
          </c:val>
          <c:extLst>
            <c:ext xmlns:c16="http://schemas.microsoft.com/office/drawing/2014/chart" uri="{C3380CC4-5D6E-409C-BE32-E72D297353CC}">
              <c16:uniqueId val="{00000000-8BCD-4BC4-9409-EFDF51695D38}"/>
            </c:ext>
          </c:extLst>
        </c:ser>
        <c:dLbls>
          <c:showLegendKey val="0"/>
          <c:showVal val="0"/>
          <c:showCatName val="0"/>
          <c:showSerName val="0"/>
          <c:showPercent val="0"/>
          <c:showBubbleSize val="0"/>
        </c:dLbls>
        <c:gapWidth val="219"/>
        <c:overlap val="-27"/>
        <c:axId val="233462384"/>
        <c:axId val="233270496"/>
      </c:barChart>
      <c:catAx>
        <c:axId val="2334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70496"/>
        <c:crosses val="autoZero"/>
        <c:auto val="1"/>
        <c:lblAlgn val="ctr"/>
        <c:lblOffset val="100"/>
        <c:noMultiLvlLbl val="0"/>
      </c:catAx>
      <c:valAx>
        <c:axId val="2332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4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(1).xlsx]brand name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name '!$B$3</c:f>
              <c:strCache>
                <c:ptCount val="1"/>
                <c:pt idx="0">
                  <c:v>Total</c:v>
                </c:pt>
              </c:strCache>
            </c:strRef>
          </c:tx>
          <c:spPr>
            <a:solidFill>
              <a:schemeClr val="accent1"/>
            </a:solidFill>
            <a:ln>
              <a:noFill/>
            </a:ln>
            <a:effectLst/>
          </c:spPr>
          <c:invertIfNegative val="0"/>
          <c:cat>
            <c:strRef>
              <c:f>'brand name '!$A$4:$A$17</c:f>
              <c:strCache>
                <c:ptCount val="13"/>
                <c:pt idx="0">
                  <c:v>AlaiStore</c:v>
                </c:pt>
                <c:pt idx="1">
                  <c:v>Barhloew</c:v>
                </c:pt>
                <c:pt idx="2">
                  <c:v>CloudFarming</c:v>
                </c:pt>
                <c:pt idx="3">
                  <c:v>Digitalgreenpar</c:v>
                </c:pt>
                <c:pt idx="4">
                  <c:v>GLOBQRO</c:v>
                </c:pt>
                <c:pt idx="5">
                  <c:v>GreenyOn</c:v>
                </c:pt>
                <c:pt idx="6">
                  <c:v>NALQUITS</c:v>
                </c:pt>
                <c:pt idx="7">
                  <c:v>NELSONnurseryPLANT</c:v>
                </c:pt>
                <c:pt idx="8">
                  <c:v>OXYGREENPLANT</c:v>
                </c:pt>
                <c:pt idx="9">
                  <c:v>RoyANDRoyTraders</c:v>
                </c:pt>
                <c:pt idx="10">
                  <c:v>SKYTCOM</c:v>
                </c:pt>
                <c:pt idx="11">
                  <c:v>TheEntacloo</c:v>
                </c:pt>
                <c:pt idx="12">
                  <c:v>UGAOO</c:v>
                </c:pt>
              </c:strCache>
            </c:strRef>
          </c:cat>
          <c:val>
            <c:numRef>
              <c:f>'brand name '!$B$4:$B$17</c:f>
              <c:numCache>
                <c:formatCode>General</c:formatCode>
                <c:ptCount val="13"/>
                <c:pt idx="0">
                  <c:v>55</c:v>
                </c:pt>
                <c:pt idx="1">
                  <c:v>4</c:v>
                </c:pt>
                <c:pt idx="2">
                  <c:v>35</c:v>
                </c:pt>
                <c:pt idx="3">
                  <c:v>5</c:v>
                </c:pt>
                <c:pt idx="4">
                  <c:v>4</c:v>
                </c:pt>
                <c:pt idx="5">
                  <c:v>25</c:v>
                </c:pt>
                <c:pt idx="6">
                  <c:v>4</c:v>
                </c:pt>
                <c:pt idx="7">
                  <c:v>4</c:v>
                </c:pt>
                <c:pt idx="8">
                  <c:v>10</c:v>
                </c:pt>
                <c:pt idx="9">
                  <c:v>10</c:v>
                </c:pt>
                <c:pt idx="10">
                  <c:v>7</c:v>
                </c:pt>
                <c:pt idx="11">
                  <c:v>5</c:v>
                </c:pt>
                <c:pt idx="12">
                  <c:v>177</c:v>
                </c:pt>
              </c:numCache>
            </c:numRef>
          </c:val>
          <c:extLst>
            <c:ext xmlns:c16="http://schemas.microsoft.com/office/drawing/2014/chart" uri="{C3380CC4-5D6E-409C-BE32-E72D297353CC}">
              <c16:uniqueId val="{00000000-49B1-4EA1-87E5-9C54FEF14186}"/>
            </c:ext>
          </c:extLst>
        </c:ser>
        <c:dLbls>
          <c:dLblPos val="outEnd"/>
          <c:showLegendKey val="0"/>
          <c:showVal val="0"/>
          <c:showCatName val="0"/>
          <c:showSerName val="0"/>
          <c:showPercent val="0"/>
          <c:showBubbleSize val="0"/>
        </c:dLbls>
        <c:gapWidth val="219"/>
        <c:overlap val="-27"/>
        <c:axId val="336290608"/>
        <c:axId val="336289648"/>
      </c:barChart>
      <c:catAx>
        <c:axId val="33629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89648"/>
        <c:crosses val="autoZero"/>
        <c:auto val="1"/>
        <c:lblAlgn val="ctr"/>
        <c:lblOffset val="100"/>
        <c:noMultiLvlLbl val="0"/>
      </c:catAx>
      <c:valAx>
        <c:axId val="33628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(1).xlsx]plant size!PivotTable3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 size'!$B$3</c:f>
              <c:strCache>
                <c:ptCount val="1"/>
                <c:pt idx="0">
                  <c:v>Total</c:v>
                </c:pt>
              </c:strCache>
            </c:strRef>
          </c:tx>
          <c:spPr>
            <a:solidFill>
              <a:srgbClr val="660066"/>
            </a:solidFill>
            <a:ln>
              <a:noFill/>
            </a:ln>
            <a:effectLst/>
          </c:spPr>
          <c:invertIfNegative val="0"/>
          <c:cat>
            <c:strRef>
              <c:f>'plant size'!$A$4:$A$8</c:f>
              <c:strCache>
                <c:ptCount val="4"/>
                <c:pt idx="1">
                  <c:v>Large</c:v>
                </c:pt>
                <c:pt idx="2">
                  <c:v>Medium</c:v>
                </c:pt>
                <c:pt idx="3">
                  <c:v>Small</c:v>
                </c:pt>
              </c:strCache>
            </c:strRef>
          </c:cat>
          <c:val>
            <c:numRef>
              <c:f>'plant size'!$B$4:$B$8</c:f>
              <c:numCache>
                <c:formatCode>General</c:formatCode>
                <c:ptCount val="4"/>
                <c:pt idx="0">
                  <c:v>2</c:v>
                </c:pt>
                <c:pt idx="1">
                  <c:v>2</c:v>
                </c:pt>
                <c:pt idx="2">
                  <c:v>119</c:v>
                </c:pt>
                <c:pt idx="3">
                  <c:v>317</c:v>
                </c:pt>
              </c:numCache>
            </c:numRef>
          </c:val>
          <c:extLst>
            <c:ext xmlns:c16="http://schemas.microsoft.com/office/drawing/2014/chart" uri="{C3380CC4-5D6E-409C-BE32-E72D297353CC}">
              <c16:uniqueId val="{00000000-05F9-49D9-BA32-01B83925FB7C}"/>
            </c:ext>
          </c:extLst>
        </c:ser>
        <c:dLbls>
          <c:showLegendKey val="0"/>
          <c:showVal val="0"/>
          <c:showCatName val="0"/>
          <c:showSerName val="0"/>
          <c:showPercent val="0"/>
          <c:showBubbleSize val="0"/>
        </c:dLbls>
        <c:gapWidth val="219"/>
        <c:overlap val="-27"/>
        <c:axId val="246237744"/>
        <c:axId val="246232944"/>
      </c:barChart>
      <c:catAx>
        <c:axId val="24623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32944"/>
        <c:crosses val="autoZero"/>
        <c:auto val="1"/>
        <c:lblAlgn val="ctr"/>
        <c:lblOffset val="100"/>
        <c:noMultiLvlLbl val="0"/>
      </c:catAx>
      <c:valAx>
        <c:axId val="24623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3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(1).xlsx]plant type!PivotTable19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 type'!$B$3</c:f>
              <c:strCache>
                <c:ptCount val="1"/>
                <c:pt idx="0">
                  <c:v>Total</c:v>
                </c:pt>
              </c:strCache>
            </c:strRef>
          </c:tx>
          <c:spPr>
            <a:solidFill>
              <a:srgbClr val="660066"/>
            </a:solidFill>
            <a:ln>
              <a:noFill/>
            </a:ln>
            <a:effectLst/>
          </c:spPr>
          <c:invertIfNegative val="0"/>
          <c:cat>
            <c:strRef>
              <c:f>'plant type'!$A$4:$A$15</c:f>
              <c:strCache>
                <c:ptCount val="11"/>
                <c:pt idx="0">
                  <c:v> Air purifier plant</c:v>
                </c:pt>
                <c:pt idx="1">
                  <c:v> Bamboo</c:v>
                </c:pt>
                <c:pt idx="2">
                  <c:v> Bonsai</c:v>
                </c:pt>
                <c:pt idx="3">
                  <c:v> Creepers and Climbers</c:v>
                </c:pt>
                <c:pt idx="4">
                  <c:v> Flower</c:v>
                </c:pt>
                <c:pt idx="5">
                  <c:v> Foliage</c:v>
                </c:pt>
                <c:pt idx="6">
                  <c:v> Fruit</c:v>
                </c:pt>
                <c:pt idx="7">
                  <c:v> Herb</c:v>
                </c:pt>
                <c:pt idx="8">
                  <c:v> Shrub</c:v>
                </c:pt>
                <c:pt idx="9">
                  <c:v> Succulent</c:v>
                </c:pt>
                <c:pt idx="10">
                  <c:v> Tree</c:v>
                </c:pt>
              </c:strCache>
            </c:strRef>
          </c:cat>
          <c:val>
            <c:numRef>
              <c:f>'plant type'!$B$4:$B$15</c:f>
              <c:numCache>
                <c:formatCode>General</c:formatCode>
                <c:ptCount val="11"/>
                <c:pt idx="0">
                  <c:v>14</c:v>
                </c:pt>
                <c:pt idx="1">
                  <c:v>19</c:v>
                </c:pt>
                <c:pt idx="2">
                  <c:v>10</c:v>
                </c:pt>
                <c:pt idx="3">
                  <c:v>1</c:v>
                </c:pt>
                <c:pt idx="4">
                  <c:v>28</c:v>
                </c:pt>
                <c:pt idx="5">
                  <c:v>23</c:v>
                </c:pt>
                <c:pt idx="6">
                  <c:v>100</c:v>
                </c:pt>
                <c:pt idx="7">
                  <c:v>57</c:v>
                </c:pt>
                <c:pt idx="8">
                  <c:v>82</c:v>
                </c:pt>
                <c:pt idx="9">
                  <c:v>95</c:v>
                </c:pt>
                <c:pt idx="10">
                  <c:v>11</c:v>
                </c:pt>
              </c:numCache>
            </c:numRef>
          </c:val>
          <c:extLst>
            <c:ext xmlns:c16="http://schemas.microsoft.com/office/drawing/2014/chart" uri="{C3380CC4-5D6E-409C-BE32-E72D297353CC}">
              <c16:uniqueId val="{00000000-25AB-49AB-99AB-B7051AE70B95}"/>
            </c:ext>
          </c:extLst>
        </c:ser>
        <c:dLbls>
          <c:showLegendKey val="0"/>
          <c:showVal val="0"/>
          <c:showCatName val="0"/>
          <c:showSerName val="0"/>
          <c:showPercent val="0"/>
          <c:showBubbleSize val="0"/>
        </c:dLbls>
        <c:gapWidth val="219"/>
        <c:overlap val="-27"/>
        <c:axId val="233462384"/>
        <c:axId val="233270496"/>
      </c:barChart>
      <c:catAx>
        <c:axId val="2334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70496"/>
        <c:crosses val="autoZero"/>
        <c:auto val="1"/>
        <c:lblAlgn val="ctr"/>
        <c:lblOffset val="100"/>
        <c:noMultiLvlLbl val="0"/>
      </c:catAx>
      <c:valAx>
        <c:axId val="2332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4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[plant_url (1).xlsx]feng shui!PivotTable20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'feng shui'!$B$3</c:f>
              <c:strCache>
                <c:ptCount val="1"/>
                <c:pt idx="0">
                  <c:v>Total</c:v>
                </c:pt>
              </c:strCache>
            </c:strRef>
          </c:tx>
          <c:spPr>
            <a:solidFill>
              <a:srgbClr val="660066"/>
            </a:solidFill>
            <a:ln>
              <a:noFill/>
            </a:ln>
            <a:effectLst/>
          </c:spPr>
          <c:invertIfNegative val="0"/>
          <c:cat>
            <c:strRef>
              <c:f>'feng shui'!$A$4:$A$6</c:f>
              <c:strCache>
                <c:ptCount val="2"/>
                <c:pt idx="0">
                  <c:v>No</c:v>
                </c:pt>
                <c:pt idx="1">
                  <c:v>Yes</c:v>
                </c:pt>
              </c:strCache>
            </c:strRef>
          </c:cat>
          <c:val>
            <c:numRef>
              <c:f>'feng shui'!$B$4:$B$6</c:f>
              <c:numCache>
                <c:formatCode>General</c:formatCode>
                <c:ptCount val="2"/>
                <c:pt idx="0">
                  <c:v>186</c:v>
                </c:pt>
                <c:pt idx="1">
                  <c:v>214</c:v>
                </c:pt>
              </c:numCache>
            </c:numRef>
          </c:val>
          <c:extLst>
            <c:ext xmlns:c16="http://schemas.microsoft.com/office/drawing/2014/chart" uri="{C3380CC4-5D6E-409C-BE32-E72D297353CC}">
              <c16:uniqueId val="{00000000-DB10-4A7E-A40F-82E52B9AC9D5}"/>
            </c:ext>
          </c:extLst>
        </c:ser>
        <c:dLbls>
          <c:showLegendKey val="0"/>
          <c:showVal val="0"/>
          <c:showCatName val="0"/>
          <c:showSerName val="0"/>
          <c:showPercent val="0"/>
          <c:showBubbleSize val="0"/>
        </c:dLbls>
        <c:gapWidth val="219"/>
        <c:overlap val="-27"/>
        <c:axId val="604801520"/>
        <c:axId val="604802480"/>
      </c:barChart>
      <c:catAx>
        <c:axId val="60480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02480"/>
        <c:crosses val="autoZero"/>
        <c:auto val="1"/>
        <c:lblAlgn val="ctr"/>
        <c:lblOffset val="100"/>
        <c:noMultiLvlLbl val="0"/>
      </c:catAx>
      <c:valAx>
        <c:axId val="60480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0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[plant_url (1).xlsx]brand name !PivotTable1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name '!$B$3</c:f>
              <c:strCache>
                <c:ptCount val="1"/>
                <c:pt idx="0">
                  <c:v>Total</c:v>
                </c:pt>
              </c:strCache>
            </c:strRef>
          </c:tx>
          <c:spPr>
            <a:solidFill>
              <a:srgbClr val="660066"/>
            </a:solidFill>
            <a:ln>
              <a:noFill/>
            </a:ln>
            <a:effectLst/>
          </c:spPr>
          <c:invertIfNegative val="0"/>
          <c:cat>
            <c:strRef>
              <c:f>'brand name '!$A$4:$A$17</c:f>
              <c:strCache>
                <c:ptCount val="13"/>
                <c:pt idx="0">
                  <c:v>AlaiStore</c:v>
                </c:pt>
                <c:pt idx="1">
                  <c:v>Barhloew</c:v>
                </c:pt>
                <c:pt idx="2">
                  <c:v>CloudFarming</c:v>
                </c:pt>
                <c:pt idx="3">
                  <c:v>Digitalgreenpar</c:v>
                </c:pt>
                <c:pt idx="4">
                  <c:v>GLOBQRO</c:v>
                </c:pt>
                <c:pt idx="5">
                  <c:v>GreenyOn</c:v>
                </c:pt>
                <c:pt idx="6">
                  <c:v>NALQUITS</c:v>
                </c:pt>
                <c:pt idx="7">
                  <c:v>NELSONnurseryPLANT</c:v>
                </c:pt>
                <c:pt idx="8">
                  <c:v>OXYGREENPLANT</c:v>
                </c:pt>
                <c:pt idx="9">
                  <c:v>RoyANDRoyTraders</c:v>
                </c:pt>
                <c:pt idx="10">
                  <c:v>SKYTCOM</c:v>
                </c:pt>
                <c:pt idx="11">
                  <c:v>TheEntacloo</c:v>
                </c:pt>
                <c:pt idx="12">
                  <c:v>UGAOO</c:v>
                </c:pt>
              </c:strCache>
            </c:strRef>
          </c:cat>
          <c:val>
            <c:numRef>
              <c:f>'brand name '!$B$4:$B$17</c:f>
              <c:numCache>
                <c:formatCode>General</c:formatCode>
                <c:ptCount val="13"/>
                <c:pt idx="0">
                  <c:v>55</c:v>
                </c:pt>
                <c:pt idx="1">
                  <c:v>4</c:v>
                </c:pt>
                <c:pt idx="2">
                  <c:v>35</c:v>
                </c:pt>
                <c:pt idx="3">
                  <c:v>5</c:v>
                </c:pt>
                <c:pt idx="4">
                  <c:v>4</c:v>
                </c:pt>
                <c:pt idx="5">
                  <c:v>25</c:v>
                </c:pt>
                <c:pt idx="6">
                  <c:v>4</c:v>
                </c:pt>
                <c:pt idx="7">
                  <c:v>4</c:v>
                </c:pt>
                <c:pt idx="8">
                  <c:v>10</c:v>
                </c:pt>
                <c:pt idx="9">
                  <c:v>10</c:v>
                </c:pt>
                <c:pt idx="10">
                  <c:v>7</c:v>
                </c:pt>
                <c:pt idx="11">
                  <c:v>5</c:v>
                </c:pt>
                <c:pt idx="12">
                  <c:v>177</c:v>
                </c:pt>
              </c:numCache>
            </c:numRef>
          </c:val>
          <c:extLst>
            <c:ext xmlns:c16="http://schemas.microsoft.com/office/drawing/2014/chart" uri="{C3380CC4-5D6E-409C-BE32-E72D297353CC}">
              <c16:uniqueId val="{00000000-79DE-403B-BFC5-C095BFE66CBD}"/>
            </c:ext>
          </c:extLst>
        </c:ser>
        <c:dLbls>
          <c:showLegendKey val="0"/>
          <c:showVal val="0"/>
          <c:showCatName val="0"/>
          <c:showSerName val="0"/>
          <c:showPercent val="0"/>
          <c:showBubbleSize val="0"/>
        </c:dLbls>
        <c:gapWidth val="219"/>
        <c:overlap val="-27"/>
        <c:axId val="336290608"/>
        <c:axId val="336289648"/>
      </c:barChart>
      <c:catAx>
        <c:axId val="33629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89648"/>
        <c:crosses val="autoZero"/>
        <c:auto val="1"/>
        <c:lblAlgn val="ctr"/>
        <c:lblOffset val="100"/>
        <c:noMultiLvlLbl val="0"/>
      </c:catAx>
      <c:valAx>
        <c:axId val="33628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[plant_url (1).xlsx]return!PivotTable2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rgbClr val="66006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0066"/>
          </a:solidFill>
          <a:ln w="19050">
            <a:solidFill>
              <a:schemeClr val="lt1"/>
            </a:solidFill>
          </a:ln>
          <a:effectLst/>
        </c:spPr>
      </c:pivotFmt>
    </c:pivotFmts>
    <c:plotArea>
      <c:layout>
        <c:manualLayout>
          <c:layoutTarget val="inner"/>
          <c:xMode val="edge"/>
          <c:yMode val="edge"/>
          <c:x val="0.12424671916010499"/>
          <c:y val="4.0255905511810868E-3"/>
          <c:w val="0.41147353455818025"/>
          <c:h val="0.68578922426363376"/>
        </c:manualLayout>
      </c:layout>
      <c:pieChart>
        <c:varyColors val="1"/>
        <c:ser>
          <c:idx val="0"/>
          <c:order val="0"/>
          <c:tx>
            <c:strRef>
              <c:f>return!$B$3</c:f>
              <c:strCache>
                <c:ptCount val="1"/>
                <c:pt idx="0">
                  <c:v>Total</c:v>
                </c:pt>
              </c:strCache>
            </c:strRef>
          </c:tx>
          <c:spPr>
            <a:solidFill>
              <a:srgbClr val="660066"/>
            </a:solidFill>
          </c:spPr>
          <c:dPt>
            <c:idx val="0"/>
            <c:bubble3D val="0"/>
            <c:explosion val="57"/>
            <c:spPr>
              <a:solidFill>
                <a:srgbClr val="660066"/>
              </a:solidFill>
              <a:ln w="19050">
                <a:solidFill>
                  <a:schemeClr val="lt1"/>
                </a:solidFill>
              </a:ln>
              <a:effectLst/>
            </c:spPr>
            <c:extLst>
              <c:ext xmlns:c16="http://schemas.microsoft.com/office/drawing/2014/chart" uri="{C3380CC4-5D6E-409C-BE32-E72D297353CC}">
                <c16:uniqueId val="{00000001-E8EE-43A5-869E-60943B92DA63}"/>
              </c:ext>
            </c:extLst>
          </c:dPt>
          <c:cat>
            <c:strRef>
              <c:f>return!$A$4:$A$5</c:f>
              <c:strCache>
                <c:ptCount val="1"/>
                <c:pt idx="0">
                  <c:v>No Returns Allowed?</c:v>
                </c:pt>
              </c:strCache>
            </c:strRef>
          </c:cat>
          <c:val>
            <c:numRef>
              <c:f>return!$B$4:$B$5</c:f>
              <c:numCache>
                <c:formatCode>General</c:formatCode>
                <c:ptCount val="1"/>
                <c:pt idx="0">
                  <c:v>440</c:v>
                </c:pt>
              </c:numCache>
            </c:numRef>
          </c:val>
          <c:extLst>
            <c:ext xmlns:c16="http://schemas.microsoft.com/office/drawing/2014/chart" uri="{C3380CC4-5D6E-409C-BE32-E72D297353CC}">
              <c16:uniqueId val="{00000002-E8EE-43A5-869E-60943B92DA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boxWhisker" uniqueId="{0778F707-2170-4573-A074-43FFA1D7BFEB}">
          <cx:tx>
            <cx:txData>
              <cx:f>_xlchart.v1.2</cx:f>
              <cx:v>ORIGINAL PRICE</cx:v>
            </cx:txData>
          </cx:tx>
          <cx:dataId val="0"/>
          <cx:layoutPr>
            <cx:statistics quartileMethod="exclusive"/>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plotArea>
      <cx:plotAreaRegion>
        <cx:series layoutId="clusteredColumn" uniqueId="{160A4E8D-65DD-4B60-A71A-FA98A31903DC}">
          <cx:tx>
            <cx:txData>
              <cx:f>_xlchart.v1.4</cx:f>
              <cx:v>ORIGINAL 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plotArea>
      <cx:plotAreaRegion>
        <cx:series layoutId="boxWhisker" uniqueId="{D438659F-C9FE-422A-8A4E-A854BEB28C7D}">
          <cx:tx>
            <cx:txData>
              <cx:f>_xlchart.v1.6</cx:f>
              <cx:v>SPECIAL PRICE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plotArea>
      <cx:plotAreaRegion>
        <cx:series layoutId="clusteredColumn" uniqueId="{3A3B46D1-CF83-4DB5-8A5C-5685954A693A}">
          <cx:tx>
            <cx:txData>
              <cx:f>_xlchart.v1.8</cx:f>
              <cx:v>SPECIAL 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plotArea>
      <cx:plotAreaRegion>
        <cx:series layoutId="boxWhisker" uniqueId="{71CBBE3C-AA94-442F-9173-C29ACCDA7B41}">
          <cx:tx>
            <cx:txData>
              <cx:f>_xlchart.v1.10</cx:f>
              <cx:v>DISCOUNT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plotArea>
      <cx:plotAreaRegion>
        <cx:series layoutId="clusteredColumn" uniqueId="{085E7F79-1EE1-4EB8-A930-9D25B69686B6}">
          <cx:tx>
            <cx:txData>
              <cx:f>_xlchart.v1.12</cx:f>
              <cx:v>DISCOUNT</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2" Type="http://schemas.microsoft.com/office/2014/relationships/chartEx" Target="../charts/chartEx6.xml"/><Relationship Id="rId1" Type="http://schemas.microsoft.com/office/2014/relationships/chartEx" Target="../charts/chartEx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100012</xdr:colOff>
      <xdr:row>0</xdr:row>
      <xdr:rowOff>176212</xdr:rowOff>
    </xdr:from>
    <xdr:to>
      <xdr:col>7</xdr:col>
      <xdr:colOff>228600</xdr:colOff>
      <xdr:row>10</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4AF9592-0603-79AF-51DF-4860E74FA1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71612" y="176212"/>
              <a:ext cx="3557588" cy="19764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114300</xdr:colOff>
      <xdr:row>11</xdr:row>
      <xdr:rowOff>90487</xdr:rowOff>
    </xdr:from>
    <xdr:to>
      <xdr:col>7</xdr:col>
      <xdr:colOff>238125</xdr:colOff>
      <xdr:row>21</xdr:row>
      <xdr:rowOff>47625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7D0BCC9-3791-299F-E0DF-DA076E4BD7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85900" y="2290762"/>
              <a:ext cx="3552825" cy="19573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252412</xdr:colOff>
      <xdr:row>1</xdr:row>
      <xdr:rowOff>42861</xdr:rowOff>
    </xdr:from>
    <xdr:to>
      <xdr:col>8</xdr:col>
      <xdr:colOff>123825</xdr:colOff>
      <xdr:row>12</xdr:row>
      <xdr:rowOff>196547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FB60693-1EF0-C8F0-EBE6-12AF7B8D4E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13126" y="239409"/>
              <a:ext cx="4921175" cy="23157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300037</xdr:colOff>
      <xdr:row>1</xdr:row>
      <xdr:rowOff>23812</xdr:rowOff>
    </xdr:from>
    <xdr:to>
      <xdr:col>15</xdr:col>
      <xdr:colOff>71437</xdr:colOff>
      <xdr:row>14</xdr:row>
      <xdr:rowOff>166687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DD65274-1FCE-615C-9943-3E6B4750CE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86437" y="2238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271462</xdr:colOff>
      <xdr:row>0</xdr:row>
      <xdr:rowOff>42862</xdr:rowOff>
    </xdr:from>
    <xdr:to>
      <xdr:col>6</xdr:col>
      <xdr:colOff>114300</xdr:colOff>
      <xdr:row>9</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D013E02-132D-F7CF-712E-FBF19A588E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7262" y="42862"/>
              <a:ext cx="3271838" cy="1795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445293</xdr:colOff>
      <xdr:row>9</xdr:row>
      <xdr:rowOff>195263</xdr:rowOff>
    </xdr:from>
    <xdr:to>
      <xdr:col>10</xdr:col>
      <xdr:colOff>523875</xdr:colOff>
      <xdr:row>24</xdr:row>
      <xdr:rowOff>47625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045829B-82D2-57AD-2682-23E5CA3952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52949" y="2016919"/>
              <a:ext cx="4221957" cy="29003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376237</xdr:colOff>
      <xdr:row>0</xdr:row>
      <xdr:rowOff>125412</xdr:rowOff>
    </xdr:from>
    <xdr:to>
      <xdr:col>10</xdr:col>
      <xdr:colOff>150812</xdr:colOff>
      <xdr:row>14</xdr:row>
      <xdr:rowOff>68262</xdr:rowOff>
    </xdr:to>
    <xdr:graphicFrame macro="">
      <xdr:nvGraphicFramePr>
        <xdr:cNvPr id="2" name="Chart 1">
          <a:extLst>
            <a:ext uri="{FF2B5EF4-FFF2-40B4-BE49-F238E27FC236}">
              <a16:creationId xmlns:a16="http://schemas.microsoft.com/office/drawing/2014/main" id="{CAE52C04-F776-8F94-0F8B-B76001AD5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3</xdr:row>
      <xdr:rowOff>152400</xdr:rowOff>
    </xdr:from>
    <xdr:to>
      <xdr:col>9</xdr:col>
      <xdr:colOff>28575</xdr:colOff>
      <xdr:row>17</xdr:row>
      <xdr:rowOff>95250</xdr:rowOff>
    </xdr:to>
    <xdr:graphicFrame macro="">
      <xdr:nvGraphicFramePr>
        <xdr:cNvPr id="3" name="Chart 2">
          <a:extLst>
            <a:ext uri="{FF2B5EF4-FFF2-40B4-BE49-F238E27FC236}">
              <a16:creationId xmlns:a16="http://schemas.microsoft.com/office/drawing/2014/main" id="{CA86A488-1122-24A6-4B70-2F8816F7B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261937</xdr:colOff>
      <xdr:row>3</xdr:row>
      <xdr:rowOff>80962</xdr:rowOff>
    </xdr:from>
    <xdr:to>
      <xdr:col>9</xdr:col>
      <xdr:colOff>33337</xdr:colOff>
      <xdr:row>17</xdr:row>
      <xdr:rowOff>23812</xdr:rowOff>
    </xdr:to>
    <xdr:graphicFrame macro="">
      <xdr:nvGraphicFramePr>
        <xdr:cNvPr id="2" name="Chart 1">
          <a:extLst>
            <a:ext uri="{FF2B5EF4-FFF2-40B4-BE49-F238E27FC236}">
              <a16:creationId xmlns:a16="http://schemas.microsoft.com/office/drawing/2014/main" id="{04B9335B-F87B-7674-781D-3D316119F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338137</xdr:colOff>
      <xdr:row>2</xdr:row>
      <xdr:rowOff>195262</xdr:rowOff>
    </xdr:from>
    <xdr:to>
      <xdr:col>9</xdr:col>
      <xdr:colOff>109537</xdr:colOff>
      <xdr:row>16</xdr:row>
      <xdr:rowOff>138112</xdr:rowOff>
    </xdr:to>
    <xdr:graphicFrame macro="">
      <xdr:nvGraphicFramePr>
        <xdr:cNvPr id="2" name="Chart 1">
          <a:extLst>
            <a:ext uri="{FF2B5EF4-FFF2-40B4-BE49-F238E27FC236}">
              <a16:creationId xmlns:a16="http://schemas.microsoft.com/office/drawing/2014/main" id="{8633375B-2C93-042E-43DD-6608ED718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47625</xdr:colOff>
      <xdr:row>3</xdr:row>
      <xdr:rowOff>114300</xdr:rowOff>
    </xdr:from>
    <xdr:to>
      <xdr:col>11</xdr:col>
      <xdr:colOff>504825</xdr:colOff>
      <xdr:row>16</xdr:row>
      <xdr:rowOff>180975</xdr:rowOff>
    </xdr:to>
    <mc:AlternateContent xmlns:mc="http://schemas.openxmlformats.org/markup-compatibility/2006">
      <mc:Choice xmlns:a14="http://schemas.microsoft.com/office/drawing/2010/main" Requires="a14">
        <xdr:graphicFrame macro="">
          <xdr:nvGraphicFramePr>
            <xdr:cNvPr id="3" name="TYPE">
              <a:extLst>
                <a:ext uri="{FF2B5EF4-FFF2-40B4-BE49-F238E27FC236}">
                  <a16:creationId xmlns:a16="http://schemas.microsoft.com/office/drawing/2014/main" id="{BEB45F18-FBE9-111D-D2D4-2679D31B4B78}"/>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7172325" y="714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329276</xdr:colOff>
      <xdr:row>3</xdr:row>
      <xdr:rowOff>68336</xdr:rowOff>
    </xdr:from>
    <xdr:to>
      <xdr:col>11</xdr:col>
      <xdr:colOff>100675</xdr:colOff>
      <xdr:row>17</xdr:row>
      <xdr:rowOff>11186</xdr:rowOff>
    </xdr:to>
    <xdr:graphicFrame macro="">
      <xdr:nvGraphicFramePr>
        <xdr:cNvPr id="2" name="Chart 1">
          <a:extLst>
            <a:ext uri="{FF2B5EF4-FFF2-40B4-BE49-F238E27FC236}">
              <a16:creationId xmlns:a16="http://schemas.microsoft.com/office/drawing/2014/main" id="{B4A4E46A-588A-AD9B-1623-9555504C2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491133</xdr:colOff>
      <xdr:row>1</xdr:row>
      <xdr:rowOff>0</xdr:rowOff>
    </xdr:from>
    <xdr:to>
      <xdr:col>26</xdr:col>
      <xdr:colOff>595312</xdr:colOff>
      <xdr:row>3</xdr:row>
      <xdr:rowOff>152400</xdr:rowOff>
    </xdr:to>
    <xdr:sp macro="" textlink="">
      <xdr:nvSpPr>
        <xdr:cNvPr id="2" name="Rectangle 1">
          <a:extLst>
            <a:ext uri="{FF2B5EF4-FFF2-40B4-BE49-F238E27FC236}">
              <a16:creationId xmlns:a16="http://schemas.microsoft.com/office/drawing/2014/main" id="{DC20B70C-613C-F94D-59DE-3B40474D2D42}"/>
            </a:ext>
          </a:extLst>
        </xdr:cNvPr>
        <xdr:cNvSpPr/>
      </xdr:nvSpPr>
      <xdr:spPr>
        <a:xfrm>
          <a:off x="1860352" y="193477"/>
          <a:ext cx="16534804" cy="539353"/>
        </a:xfrm>
        <a:prstGeom prst="rect">
          <a:avLst/>
        </a:prstGeom>
        <a:solidFill>
          <a:srgbClr val="6600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atin typeface="Castellar" panose="020A0402060406010301" pitchFamily="18" charset="0"/>
            </a:rPr>
            <a:t>plant</a:t>
          </a:r>
          <a:r>
            <a:rPr lang="en-IN" sz="2400" b="1" baseline="0">
              <a:latin typeface="Castellar" panose="020A0402060406010301" pitchFamily="18" charset="0"/>
            </a:rPr>
            <a:t> online business analysis</a:t>
          </a:r>
        </a:p>
        <a:p>
          <a:pPr algn="ctr"/>
          <a:endParaRPr lang="en-IN" sz="2400" b="1">
            <a:latin typeface="Castellar" panose="020A0402060406010301" pitchFamily="18" charset="0"/>
          </a:endParaRPr>
        </a:p>
      </xdr:txBody>
    </xdr:sp>
    <xdr:clientData/>
  </xdr:twoCellAnchor>
  <xdr:twoCellAnchor>
    <xdr:from>
      <xdr:col>2</xdr:col>
      <xdr:colOff>490680</xdr:colOff>
      <xdr:row>10</xdr:row>
      <xdr:rowOff>31750</xdr:rowOff>
    </xdr:from>
    <xdr:to>
      <xdr:col>7</xdr:col>
      <xdr:colOff>274203</xdr:colOff>
      <xdr:row>15</xdr:row>
      <xdr:rowOff>163711</xdr:rowOff>
    </xdr:to>
    <xdr:sp macro="" textlink="">
      <xdr:nvSpPr>
        <xdr:cNvPr id="4" name="Rectangle: Rounded Corners 3">
          <a:extLst>
            <a:ext uri="{FF2B5EF4-FFF2-40B4-BE49-F238E27FC236}">
              <a16:creationId xmlns:a16="http://schemas.microsoft.com/office/drawing/2014/main" id="{DA59508D-1893-4F21-A678-6B7767AF4AA6}"/>
            </a:ext>
          </a:extLst>
        </xdr:cNvPr>
        <xdr:cNvSpPr/>
      </xdr:nvSpPr>
      <xdr:spPr>
        <a:xfrm>
          <a:off x="1876135" y="2052205"/>
          <a:ext cx="3247159" cy="1142188"/>
        </a:xfrm>
        <a:prstGeom prst="roundRect">
          <a:avLst/>
        </a:prstGeom>
        <a:solidFill>
          <a:srgbClr val="6600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399983</xdr:colOff>
      <xdr:row>10</xdr:row>
      <xdr:rowOff>188897</xdr:rowOff>
    </xdr:from>
    <xdr:to>
      <xdr:col>6</xdr:col>
      <xdr:colOff>604067</xdr:colOff>
      <xdr:row>12</xdr:row>
      <xdr:rowOff>114432</xdr:rowOff>
    </xdr:to>
    <xdr:sp macro="" textlink="">
      <xdr:nvSpPr>
        <xdr:cNvPr id="8" name="Rectangle 7">
          <a:extLst>
            <a:ext uri="{FF2B5EF4-FFF2-40B4-BE49-F238E27FC236}">
              <a16:creationId xmlns:a16="http://schemas.microsoft.com/office/drawing/2014/main" id="{4CE8AB08-3643-4838-B5C0-25BEC8009CD3}"/>
            </a:ext>
          </a:extLst>
        </xdr:cNvPr>
        <xdr:cNvSpPr/>
      </xdr:nvSpPr>
      <xdr:spPr>
        <a:xfrm>
          <a:off x="2478165" y="2209352"/>
          <a:ext cx="2282266" cy="329625"/>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solidFill>
                <a:schemeClr val="tx1"/>
              </a:solidFill>
              <a:latin typeface="Castellar" panose="020A0402060406010301" pitchFamily="18" charset="0"/>
            </a:rPr>
            <a:t>average price </a:t>
          </a:r>
        </a:p>
      </xdr:txBody>
    </xdr:sp>
    <xdr:clientData/>
  </xdr:twoCellAnchor>
  <xdr:twoCellAnchor>
    <xdr:from>
      <xdr:col>3</xdr:col>
      <xdr:colOff>377933</xdr:colOff>
      <xdr:row>13</xdr:row>
      <xdr:rowOff>15872</xdr:rowOff>
    </xdr:from>
    <xdr:to>
      <xdr:col>6</xdr:col>
      <xdr:colOff>604067</xdr:colOff>
      <xdr:row>14</xdr:row>
      <xdr:rowOff>151117</xdr:rowOff>
    </xdr:to>
    <xdr:sp macro="" textlink="Sheet14!C7">
      <xdr:nvSpPr>
        <xdr:cNvPr id="9" name="Rectangle 8">
          <a:extLst>
            <a:ext uri="{FF2B5EF4-FFF2-40B4-BE49-F238E27FC236}">
              <a16:creationId xmlns:a16="http://schemas.microsoft.com/office/drawing/2014/main" id="{FFEE4284-B851-4596-AFFF-06B8938CE33D}"/>
            </a:ext>
          </a:extLst>
        </xdr:cNvPr>
        <xdr:cNvSpPr/>
      </xdr:nvSpPr>
      <xdr:spPr>
        <a:xfrm>
          <a:off x="2456115" y="2642463"/>
          <a:ext cx="2304316" cy="33729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4D52E4D-4491-4493-BE51-A291A5EF0091}" type="TxLink">
            <a:rPr lang="en-US" sz="1200" b="0" i="0" u="none" strike="noStrike">
              <a:solidFill>
                <a:srgbClr val="000000"/>
              </a:solidFill>
              <a:latin typeface="Calibri"/>
              <a:ea typeface="Calibri"/>
              <a:cs typeface="Calibri"/>
            </a:rPr>
            <a:pPr algn="ctr"/>
            <a:t>253.82</a:t>
          </a:fld>
          <a:endParaRPr lang="en-IN" sz="1100"/>
        </a:p>
      </xdr:txBody>
    </xdr:sp>
    <xdr:clientData/>
  </xdr:twoCellAnchor>
  <xdr:twoCellAnchor>
    <xdr:from>
      <xdr:col>2</xdr:col>
      <xdr:colOff>533976</xdr:colOff>
      <xdr:row>16</xdr:row>
      <xdr:rowOff>15874</xdr:rowOff>
    </xdr:from>
    <xdr:to>
      <xdr:col>7</xdr:col>
      <xdr:colOff>274203</xdr:colOff>
      <xdr:row>21</xdr:row>
      <xdr:rowOff>196849</xdr:rowOff>
    </xdr:to>
    <xdr:sp macro="" textlink="">
      <xdr:nvSpPr>
        <xdr:cNvPr id="5" name="Rectangle: Rounded Corners 4">
          <a:extLst>
            <a:ext uri="{FF2B5EF4-FFF2-40B4-BE49-F238E27FC236}">
              <a16:creationId xmlns:a16="http://schemas.microsoft.com/office/drawing/2014/main" id="{39BBBEBE-03BE-4A1E-9C0D-87845356ED8F}"/>
            </a:ext>
          </a:extLst>
        </xdr:cNvPr>
        <xdr:cNvSpPr/>
      </xdr:nvSpPr>
      <xdr:spPr>
        <a:xfrm>
          <a:off x="1919431" y="3248601"/>
          <a:ext cx="3203863" cy="1191203"/>
        </a:xfrm>
        <a:prstGeom prst="roundRect">
          <a:avLst/>
        </a:prstGeom>
        <a:solidFill>
          <a:srgbClr val="66006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426091</xdr:colOff>
      <xdr:row>16</xdr:row>
      <xdr:rowOff>198242</xdr:rowOff>
    </xdr:from>
    <xdr:to>
      <xdr:col>6</xdr:col>
      <xdr:colOff>556065</xdr:colOff>
      <xdr:row>18</xdr:row>
      <xdr:rowOff>127843</xdr:rowOff>
    </xdr:to>
    <xdr:sp macro="" textlink="">
      <xdr:nvSpPr>
        <xdr:cNvPr id="10" name="Rectangle 9">
          <a:extLst>
            <a:ext uri="{FF2B5EF4-FFF2-40B4-BE49-F238E27FC236}">
              <a16:creationId xmlns:a16="http://schemas.microsoft.com/office/drawing/2014/main" id="{D5410B20-49E4-4C79-8301-59FF44CC45E7}"/>
            </a:ext>
          </a:extLst>
        </xdr:cNvPr>
        <xdr:cNvSpPr/>
      </xdr:nvSpPr>
      <xdr:spPr>
        <a:xfrm>
          <a:off x="2504273" y="3430969"/>
          <a:ext cx="2208156" cy="333692"/>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solidFill>
                <a:schemeClr val="tx1"/>
              </a:solidFill>
              <a:latin typeface="Castellar" panose="020A0402060406010301" pitchFamily="18" charset="0"/>
            </a:rPr>
            <a:t>average discount</a:t>
          </a:r>
        </a:p>
        <a:p>
          <a:pPr algn="ctr"/>
          <a:endParaRPr lang="en-IN" sz="1100">
            <a:solidFill>
              <a:schemeClr val="tx1"/>
            </a:solidFill>
          </a:endParaRPr>
        </a:p>
      </xdr:txBody>
    </xdr:sp>
    <xdr:clientData/>
  </xdr:twoCellAnchor>
  <xdr:twoCellAnchor>
    <xdr:from>
      <xdr:col>3</xdr:col>
      <xdr:colOff>426090</xdr:colOff>
      <xdr:row>19</xdr:row>
      <xdr:rowOff>26680</xdr:rowOff>
    </xdr:from>
    <xdr:to>
      <xdr:col>6</xdr:col>
      <xdr:colOff>567050</xdr:colOff>
      <xdr:row>20</xdr:row>
      <xdr:rowOff>158327</xdr:rowOff>
    </xdr:to>
    <xdr:sp macro="" textlink="Sheet14!B7">
      <xdr:nvSpPr>
        <xdr:cNvPr id="11" name="Rectangle 10">
          <a:extLst>
            <a:ext uri="{FF2B5EF4-FFF2-40B4-BE49-F238E27FC236}">
              <a16:creationId xmlns:a16="http://schemas.microsoft.com/office/drawing/2014/main" id="{B0FB68A5-F92B-49FC-BDA9-51BAE66C118B}"/>
            </a:ext>
          </a:extLst>
        </xdr:cNvPr>
        <xdr:cNvSpPr/>
      </xdr:nvSpPr>
      <xdr:spPr>
        <a:xfrm>
          <a:off x="2504272" y="3865544"/>
          <a:ext cx="2219142" cy="333692"/>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8B88DA59-E77F-4AE0-8380-D33C71891DCE}" type="TxLink">
            <a:rPr lang="en-US" sz="1200" b="0" i="0" u="none" strike="noStrike">
              <a:solidFill>
                <a:srgbClr val="000000"/>
              </a:solidFill>
              <a:latin typeface="Calibri"/>
              <a:ea typeface="Calibri"/>
              <a:cs typeface="Calibri"/>
            </a:rPr>
            <a:pPr algn="ctr"/>
            <a:t>46%</a:t>
          </a:fld>
          <a:endParaRPr lang="en-IN" sz="1100"/>
        </a:p>
      </xdr:txBody>
    </xdr:sp>
    <xdr:clientData/>
  </xdr:twoCellAnchor>
  <xdr:twoCellAnchor>
    <xdr:from>
      <xdr:col>15</xdr:col>
      <xdr:colOff>127000</xdr:colOff>
      <xdr:row>4</xdr:row>
      <xdr:rowOff>15875</xdr:rowOff>
    </xdr:from>
    <xdr:to>
      <xdr:col>23</xdr:col>
      <xdr:colOff>15875</xdr:colOff>
      <xdr:row>21</xdr:row>
      <xdr:rowOff>95249</xdr:rowOff>
    </xdr:to>
    <xdr:graphicFrame macro="">
      <xdr:nvGraphicFramePr>
        <xdr:cNvPr id="14" name="Chart 13">
          <a:extLst>
            <a:ext uri="{FF2B5EF4-FFF2-40B4-BE49-F238E27FC236}">
              <a16:creationId xmlns:a16="http://schemas.microsoft.com/office/drawing/2014/main" id="{EE87199B-20BB-46DC-BBE8-E32FE0297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349250</xdr:colOff>
      <xdr:row>4</xdr:row>
      <xdr:rowOff>22224</xdr:rowOff>
    </xdr:from>
    <xdr:to>
      <xdr:col>15</xdr:col>
      <xdr:colOff>15875</xdr:colOff>
      <xdr:row>21</xdr:row>
      <xdr:rowOff>158749</xdr:rowOff>
    </xdr:to>
    <xdr:graphicFrame macro="">
      <xdr:nvGraphicFramePr>
        <xdr:cNvPr id="15" name="Chart 14">
          <a:extLst>
            <a:ext uri="{FF2B5EF4-FFF2-40B4-BE49-F238E27FC236}">
              <a16:creationId xmlns:a16="http://schemas.microsoft.com/office/drawing/2014/main" id="{05539F0C-14C8-4485-A24C-1D99DEAA4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158750</xdr:colOff>
      <xdr:row>4</xdr:row>
      <xdr:rowOff>79375</xdr:rowOff>
    </xdr:from>
    <xdr:to>
      <xdr:col>26</xdr:col>
      <xdr:colOff>320675</xdr:colOff>
      <xdr:row>21</xdr:row>
      <xdr:rowOff>111125</xdr:rowOff>
    </xdr:to>
    <mc:AlternateContent xmlns:mc="http://schemas.openxmlformats.org/markup-compatibility/2006">
      <mc:Choice xmlns:a14="http://schemas.microsoft.com/office/drawing/2010/main" Requires="a14">
        <xdr:graphicFrame macro="">
          <xdr:nvGraphicFramePr>
            <xdr:cNvPr id="16" name="TYPE 1">
              <a:extLst>
                <a:ext uri="{FF2B5EF4-FFF2-40B4-BE49-F238E27FC236}">
                  <a16:creationId xmlns:a16="http://schemas.microsoft.com/office/drawing/2014/main" id="{E3601A53-7E6F-41C4-A22F-47C48C848E5E}"/>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6091477" y="887557"/>
              <a:ext cx="2240107" cy="3466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15875</xdr:colOff>
      <xdr:row>22</xdr:row>
      <xdr:rowOff>63500</xdr:rowOff>
    </xdr:from>
    <xdr:to>
      <xdr:col>18</xdr:col>
      <xdr:colOff>444499</xdr:colOff>
      <xdr:row>39</xdr:row>
      <xdr:rowOff>43295</xdr:rowOff>
    </xdr:to>
    <xdr:graphicFrame macro="">
      <xdr:nvGraphicFramePr>
        <xdr:cNvPr id="17" name="Chart 16">
          <a:extLst>
            <a:ext uri="{FF2B5EF4-FFF2-40B4-BE49-F238E27FC236}">
              <a16:creationId xmlns:a16="http://schemas.microsoft.com/office/drawing/2014/main" id="{6C2AA8C5-B4D0-4D24-961A-3C2102B24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571500</xdr:colOff>
      <xdr:row>21</xdr:row>
      <xdr:rowOff>174625</xdr:rowOff>
    </xdr:from>
    <xdr:to>
      <xdr:col>26</xdr:col>
      <xdr:colOff>365125</xdr:colOff>
      <xdr:row>39</xdr:row>
      <xdr:rowOff>0</xdr:rowOff>
    </xdr:to>
    <xdr:graphicFrame macro="">
      <xdr:nvGraphicFramePr>
        <xdr:cNvPr id="18" name="Chart 17">
          <a:extLst>
            <a:ext uri="{FF2B5EF4-FFF2-40B4-BE49-F238E27FC236}">
              <a16:creationId xmlns:a16="http://schemas.microsoft.com/office/drawing/2014/main" id="{CC1ECEC3-CB11-453C-BA96-EB5E44EC7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505114</xdr:colOff>
      <xdr:row>22</xdr:row>
      <xdr:rowOff>111124</xdr:rowOff>
    </xdr:from>
    <xdr:to>
      <xdr:col>10</xdr:col>
      <xdr:colOff>603250</xdr:colOff>
      <xdr:row>39</xdr:row>
      <xdr:rowOff>15874</xdr:rowOff>
    </xdr:to>
    <xdr:graphicFrame macro="">
      <xdr:nvGraphicFramePr>
        <xdr:cNvPr id="19" name="Chart 18">
          <a:extLst>
            <a:ext uri="{FF2B5EF4-FFF2-40B4-BE49-F238E27FC236}">
              <a16:creationId xmlns:a16="http://schemas.microsoft.com/office/drawing/2014/main" id="{98891895-2718-4B0E-A09F-255E62A74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505114</xdr:colOff>
      <xdr:row>4</xdr:row>
      <xdr:rowOff>111125</xdr:rowOff>
    </xdr:from>
    <xdr:to>
      <xdr:col>7</xdr:col>
      <xdr:colOff>274204</xdr:colOff>
      <xdr:row>9</xdr:row>
      <xdr:rowOff>158750</xdr:rowOff>
    </xdr:to>
    <xdr:sp macro="" textlink="">
      <xdr:nvSpPr>
        <xdr:cNvPr id="26" name="Rectangle: Rounded Corners 25">
          <a:extLst>
            <a:ext uri="{FF2B5EF4-FFF2-40B4-BE49-F238E27FC236}">
              <a16:creationId xmlns:a16="http://schemas.microsoft.com/office/drawing/2014/main" id="{9B2175E0-FB48-4897-D7F5-9FB164B2C3F7}"/>
            </a:ext>
          </a:extLst>
        </xdr:cNvPr>
        <xdr:cNvSpPr/>
      </xdr:nvSpPr>
      <xdr:spPr>
        <a:xfrm>
          <a:off x="1890569" y="919307"/>
          <a:ext cx="3232726" cy="1057852"/>
        </a:xfrm>
        <a:prstGeom prst="roundRect">
          <a:avLst/>
        </a:prstGeom>
        <a:solidFill>
          <a:srgbClr val="660066"/>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accent4"/>
            </a:solidFill>
          </a:endParaRPr>
        </a:p>
      </xdr:txBody>
    </xdr:sp>
    <xdr:clientData/>
  </xdr:twoCellAnchor>
  <xdr:twoCellAnchor>
    <xdr:from>
      <xdr:col>3</xdr:col>
      <xdr:colOff>467591</xdr:colOff>
      <xdr:row>5</xdr:row>
      <xdr:rowOff>44739</xdr:rowOff>
    </xdr:from>
    <xdr:to>
      <xdr:col>6</xdr:col>
      <xdr:colOff>451716</xdr:colOff>
      <xdr:row>6</xdr:row>
      <xdr:rowOff>124114</xdr:rowOff>
    </xdr:to>
    <xdr:sp macro="" textlink="">
      <xdr:nvSpPr>
        <xdr:cNvPr id="27" name="Rectangle 26">
          <a:extLst>
            <a:ext uri="{FF2B5EF4-FFF2-40B4-BE49-F238E27FC236}">
              <a16:creationId xmlns:a16="http://schemas.microsoft.com/office/drawing/2014/main" id="{3B850412-313A-599F-7B08-6701C6C2A8D2}"/>
            </a:ext>
          </a:extLst>
        </xdr:cNvPr>
        <xdr:cNvSpPr/>
      </xdr:nvSpPr>
      <xdr:spPr>
        <a:xfrm>
          <a:off x="2545773" y="1054966"/>
          <a:ext cx="2062307" cy="281421"/>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latin typeface="Castellar" panose="020A0402060406010301" pitchFamily="18" charset="0"/>
            </a:rPr>
            <a:t>count</a:t>
          </a:r>
        </a:p>
      </xdr:txBody>
    </xdr:sp>
    <xdr:clientData/>
  </xdr:twoCellAnchor>
  <xdr:twoCellAnchor>
    <xdr:from>
      <xdr:col>3</xdr:col>
      <xdr:colOff>466148</xdr:colOff>
      <xdr:row>7</xdr:row>
      <xdr:rowOff>63500</xdr:rowOff>
    </xdr:from>
    <xdr:to>
      <xdr:col>6</xdr:col>
      <xdr:colOff>450273</xdr:colOff>
      <xdr:row>8</xdr:row>
      <xdr:rowOff>142875</xdr:rowOff>
    </xdr:to>
    <xdr:sp macro="" textlink="Sheet14!A7">
      <xdr:nvSpPr>
        <xdr:cNvPr id="28" name="Rectangle 27">
          <a:extLst>
            <a:ext uri="{FF2B5EF4-FFF2-40B4-BE49-F238E27FC236}">
              <a16:creationId xmlns:a16="http://schemas.microsoft.com/office/drawing/2014/main" id="{2F8543CF-1401-4BDA-94F8-767FB66CB40E}"/>
            </a:ext>
          </a:extLst>
        </xdr:cNvPr>
        <xdr:cNvSpPr/>
      </xdr:nvSpPr>
      <xdr:spPr>
        <a:xfrm>
          <a:off x="2544330" y="1477818"/>
          <a:ext cx="2062307" cy="281421"/>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DD1DBDA2-0EA9-4CC4-8CBD-55CB450BD8BD}" type="TxLink">
            <a:rPr lang="en-US" sz="1200" b="0" i="0" u="none" strike="noStrike">
              <a:solidFill>
                <a:srgbClr val="000000"/>
              </a:solidFill>
              <a:latin typeface="Calibri"/>
              <a:ea typeface="Calibri"/>
              <a:cs typeface="Calibri"/>
            </a:rPr>
            <a:pPr algn="ctr"/>
            <a:t>440</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7.61264097222" createdVersion="8" refreshedVersion="8" minRefreshableVersion="3" recordCount="440" xr:uid="{632C9B0C-B853-4DAC-B8B5-BEED6ACC552A}">
  <cacheSource type="worksheet">
    <worksheetSource ref="A1:N441" sheet="clean data"/>
  </cacheSource>
  <cacheFields count="14">
    <cacheField name="ID" numFmtId="49">
      <sharedItems count="440">
        <s v="1754309573-1"/>
        <s v="1754309576-2"/>
        <s v="1754309578-3"/>
        <s v="1754309581-4"/>
        <s v="1754309584-5"/>
        <s v="1754309586-6"/>
        <s v="1754309589-7"/>
        <s v="1754309591-8"/>
        <s v="1754309594-9"/>
        <s v="1754309596-10"/>
        <s v="1754309599-11"/>
        <s v="1754309601-12"/>
        <s v="1754309604-13"/>
        <s v="1754309606-14"/>
        <s v="1754309609-15"/>
        <s v="1754309611-16"/>
        <s v="1754309614-17"/>
        <s v="1754309616-18"/>
        <s v="1754309619-19"/>
        <s v="1754309621-20"/>
        <s v="1754309624-21"/>
        <s v="1754309626-22"/>
        <s v="1754309629-23"/>
        <s v="1754309631-24"/>
        <s v="1754309634-25"/>
        <s v="1754309636-26"/>
        <s v="1754309638-27"/>
        <s v="1754309641-28"/>
        <s v="1754309643-29"/>
        <s v="1754309646-30"/>
        <s v="1754309648-31"/>
        <s v="1754309651-32"/>
        <s v="1754309653-33"/>
        <s v="1754309656-34"/>
        <s v="1754309658-35"/>
        <s v="1754309661-36"/>
        <s v="1754309663-37"/>
        <s v="1754309666-38"/>
        <s v="1754309668-39"/>
        <s v="1754309671-40"/>
        <s v="1754309676-41"/>
        <s v="1754309678-42"/>
        <s v="1754309681-43"/>
        <s v="1754309684-44"/>
        <s v="1754309686-45"/>
        <s v="1754309689-46"/>
        <s v="1754309691-47"/>
        <s v="1754309694-48"/>
        <s v="1754309696-49"/>
        <s v="1754309699-50"/>
        <s v="1754309701-51"/>
        <s v="1754309704-52"/>
        <s v="1754309706-53"/>
        <s v="1754309709-54"/>
        <s v="1754309711-55"/>
        <s v="1754309713-56"/>
        <s v="1754309716-57"/>
        <s v="1754309719-58"/>
        <s v="1754309721-59"/>
        <s v="1754309724-60"/>
        <s v="1754309726-61"/>
        <s v="1754309729-62"/>
        <s v="1754309731-63"/>
        <s v="1754309734-64"/>
        <s v="1754309736-65"/>
        <s v="1754309739-66"/>
        <s v="1754309741-67"/>
        <s v="1754309743-68"/>
        <s v="1754309746-69"/>
        <s v="1754309748-70"/>
        <s v="1754309751-71"/>
        <s v="1754309753-72"/>
        <s v="1754309756-73"/>
        <s v="1754309758-74"/>
        <s v="1754309761-75"/>
        <s v="1754309763-76"/>
        <s v="1754309766-77"/>
        <s v="1754309768-78"/>
        <s v="1754309771-79"/>
        <s v="1754309773-80"/>
        <s v="1754309779-81"/>
        <s v="1754309782-82"/>
        <s v="1754309784-83"/>
        <s v="1754309787-84"/>
        <s v="1754309790-85"/>
        <s v="1754309792-86"/>
        <s v="1754309795-87"/>
        <s v="1754309798-88"/>
        <s v="1754309801-89"/>
        <s v="1754309803-90"/>
        <s v="1754309806-91"/>
        <s v="1754309808-92"/>
        <s v="1754309811-93"/>
        <s v="1754309813-94"/>
        <s v="1754309816-95"/>
        <s v="1754309818-96"/>
        <s v="1754309821-97"/>
        <s v="1754309824-98"/>
        <s v="1754309826-99"/>
        <s v="1754309829-100"/>
        <s v="1754309831-101"/>
        <s v="1754309833-102"/>
        <s v="1754309836-103"/>
        <s v="1754309839-104"/>
        <s v="1754309841-105"/>
        <s v="1754309844-106"/>
        <s v="1754309846-107"/>
        <s v="1754309849-108"/>
        <s v="1754309852-109"/>
        <s v="1754309854-110"/>
        <s v="1754309857-111"/>
        <s v="1754309859-112"/>
        <s v="1754309861-113"/>
        <s v="1754309864-114"/>
        <s v="1754309866-115"/>
        <s v="1754309869-116"/>
        <s v="1754309872-117"/>
        <s v="1754309874-118"/>
        <s v="1754309877-119"/>
        <s v="1754309879-120"/>
        <s v="1754309884-121"/>
        <s v="1754309887-122"/>
        <s v="1754309889-123"/>
        <s v="1754309892-124"/>
        <s v="1754309894-125"/>
        <s v="1754309897-126"/>
        <s v="1754309899-127"/>
        <s v="1754309902-128"/>
        <s v="1754309905-129"/>
        <s v="1754309907-130"/>
        <s v="1754309910-131"/>
        <s v="1754309912-132"/>
        <s v="1754309915-133"/>
        <s v="1754309926-134"/>
        <s v="1754309939-135"/>
        <s v="1754309942-136"/>
        <s v="1754309944-137"/>
        <s v="1754309947-138"/>
        <s v="1754309949-139"/>
        <s v="1754309952-140"/>
        <s v="1754309954-141"/>
        <s v="1754309957-142"/>
        <s v="1754309960-143"/>
        <s v="1754309962-144"/>
        <s v="1754309964-145"/>
        <s v="1754309967-146"/>
        <s v="1754309969-147"/>
        <s v="1754309972-148"/>
        <s v="1754309975-149"/>
        <s v="1754309977-150"/>
        <s v="1754309980-151"/>
        <s v="1754309982-152"/>
        <s v="1754309985-153"/>
        <s v="1754309987-154"/>
        <s v="1754309990-155"/>
        <s v="1754309992-156"/>
        <s v="1754309995-157"/>
        <s v="1754309999-158"/>
        <s v="1754310002-159"/>
        <s v="1754310004-160"/>
        <s v="1754310010-161"/>
        <s v="1754310012-162"/>
        <s v="1754310015-163"/>
        <s v="1754310017-164"/>
        <s v="1754310020-165"/>
        <s v="1754310022-166"/>
        <s v="1754310025-167"/>
        <s v="1754310028-168"/>
        <s v="1754310030-169"/>
        <s v="1754310033-170"/>
        <s v="1754310036-171"/>
        <s v="1754310047-172"/>
        <s v="1754310051-173"/>
        <s v="1754310054-174"/>
        <s v="1754310056-175"/>
        <s v="1754310059-176"/>
        <s v="1754310061-177"/>
        <s v="1754310064-178"/>
        <s v="1754310066-179"/>
        <s v="1754310069-180"/>
        <s v="1754310071-181"/>
        <s v="1754310074-182"/>
        <s v="1754310078-183"/>
        <s v="1754310081-184"/>
        <s v="1754310086-185"/>
        <s v="1754310089-186"/>
        <s v="1754310094-187"/>
        <s v="1754310097-188"/>
        <s v="1754310101-189"/>
        <s v="1754310105-190"/>
        <s v="1754310109-191"/>
        <s v="1754310116-192"/>
        <s v="1754310119-193"/>
        <s v="1754310122-194"/>
        <s v="1754310125-195"/>
        <s v="1754310129-196"/>
        <s v="1754310134-197"/>
        <s v="1754310140-198"/>
        <s v="1754310142-199"/>
        <s v="1754310147-200"/>
        <s v="1754310154-201"/>
        <s v="1754310157-202"/>
        <s v="1754310159-203"/>
        <s v="1754310163-204"/>
        <s v="1754310165-205"/>
        <s v="1754310168-206"/>
        <s v="1754310170-207"/>
        <s v="1754310173-208"/>
        <s v="1754310175-209"/>
        <s v="1754310178-210"/>
        <s v="1754310180-211"/>
        <s v="1754310183-212"/>
        <s v="1754310185-213"/>
        <s v="1754310188-214"/>
        <s v="1754310190-215"/>
        <s v="1754310193-216"/>
        <s v="1754310195-217"/>
        <s v="1754310198-218"/>
        <s v="1754310200-219"/>
        <s v="1754310203-220"/>
        <s v="1754310205-221"/>
        <s v="1754310208-222"/>
        <s v="1754310210-223"/>
        <s v="1754310213-224"/>
        <s v="1754310215-225"/>
        <s v="1754310219-226"/>
        <s v="1754310222-227"/>
        <s v="1754310224-228"/>
        <s v="1754310227-229"/>
        <s v="1754310229-230"/>
        <s v="1754310232-231"/>
        <s v="1754310234-232"/>
        <s v="1754310237-233"/>
        <s v="1754310239-234"/>
        <s v="1754310242-235"/>
        <s v="1754310244-236"/>
        <s v="1754310247-237"/>
        <s v="1754310251-238"/>
        <s v="1754310253-239"/>
        <s v="1754310256-240"/>
        <s v="1754310261-241"/>
        <s v="1754310263-242"/>
        <s v="1754310266-243"/>
        <s v="1754310268-244"/>
        <s v="1754310271-245"/>
        <s v="1754310274-246"/>
        <s v="1754310276-247"/>
        <s v="1754310278-248"/>
        <s v="1754310282-249"/>
        <s v="1754310284-250"/>
        <s v="1754310287-251"/>
        <s v="1754310290-252"/>
        <s v="1754310292-253"/>
        <s v="1754310295-254"/>
        <s v="1754310297-255"/>
        <s v="1754310300-256"/>
        <s v="1754310303-257"/>
        <s v="1754310305-258"/>
        <s v="1754310308-259"/>
        <s v="1754310311-260"/>
        <s v="1754310313-261"/>
        <s v="1754310315-262"/>
        <s v="1754310318-263"/>
        <s v="1754310320-264"/>
        <s v="1754310323-265"/>
        <s v="1754310326-266"/>
        <s v="1754310328-267"/>
        <s v="1754310331-268"/>
        <s v="1754310334-269"/>
        <s v="1754310336-270"/>
        <s v="1754310339-271"/>
        <s v="1754310342-272"/>
        <s v="1754310344-273"/>
        <s v="1754310347-274"/>
        <s v="1754310349-275"/>
        <s v="1754310352-276"/>
        <s v="1754310354-277"/>
        <s v="1754310357-278"/>
        <s v="1754310360-279"/>
        <s v="1754310362-280"/>
        <s v="1754310368-281"/>
        <s v="1754310370-282"/>
        <s v="1754310373-283"/>
        <s v="1754310375-284"/>
        <s v="1754310378-285"/>
        <s v="1754310380-286"/>
        <s v="1754310383-287"/>
        <s v="1754310386-288"/>
        <s v="1754310388-289"/>
        <s v="1754310391-290"/>
        <s v="1754310393-291"/>
        <s v="1754310396-292"/>
        <s v="1754310398-293"/>
        <s v="1754310401-294"/>
        <s v="1754310403-295"/>
        <s v="1754310406-296"/>
        <s v="1754310408-297"/>
        <s v="1754310411-298"/>
        <s v="1754310413-299"/>
        <s v="1754310416-300"/>
        <s v="1754310418-301"/>
        <s v="1754310421-302"/>
        <s v="1754310424-303"/>
        <s v="1754310426-304"/>
        <s v="1754310429-305"/>
        <s v="1754310431-306"/>
        <s v="1754310434-307"/>
        <s v="1754310436-308"/>
        <s v="1754310439-309"/>
        <s v="1754310442-310"/>
        <s v="1754310444-311"/>
        <s v="1754310447-312"/>
        <s v="1754310449-313"/>
        <s v="1754310452-314"/>
        <s v="1754310454-315"/>
        <s v="1754310457-316"/>
        <s v="1754310459-317"/>
        <s v="1754310462-318"/>
        <s v="1754310464-319"/>
        <s v="1754310467-320"/>
        <s v="1754310473-321"/>
        <s v="1754310475-322"/>
        <s v="1754310478-323"/>
        <s v="1754310480-324"/>
        <s v="1754310483-325"/>
        <s v="1754310485-326"/>
        <s v="1754310488-327"/>
        <s v="1754310491-328"/>
        <s v="1754310493-329"/>
        <s v="1754310496-330"/>
        <s v="1754310498-331"/>
        <s v="1754310501-332"/>
        <s v="1754310504-333"/>
        <s v="1754310506-334"/>
        <s v="1754310509-335"/>
        <s v="1754310511-336"/>
        <s v="1754310514-337"/>
        <s v="1754310516-338"/>
        <s v="1754310519-339"/>
        <s v="1754310521-340"/>
        <s v="1754310524-341"/>
        <s v="1754310527-342"/>
        <s v="1754310529-343"/>
        <s v="1754310532-344"/>
        <s v="1754310534-345"/>
        <s v="1754310537-346"/>
        <s v="1754310539-347"/>
        <s v="1754310542-348"/>
        <s v="1754310544-349"/>
        <s v="1754310547-350"/>
        <s v="1754310549-351"/>
        <s v="1754310552-352"/>
        <s v="1754310554-353"/>
        <s v="1754310557-354"/>
        <s v="1754310559-355"/>
        <s v="1754310562-356"/>
        <s v="1754310565-357"/>
        <s v="1754310567-358"/>
        <s v="1754310570-359"/>
        <s v="1754310572-360"/>
        <s v="1754310578-361"/>
        <s v="1754310580-362"/>
        <s v="1754310583-363"/>
        <s v="1754310586-364"/>
        <s v="1754310588-365"/>
        <s v="1754310591-366"/>
        <s v="1754310593-367"/>
        <s v="1754310596-368"/>
        <s v="1754310598-369"/>
        <s v="1754310601-370"/>
        <s v="1754310604-371"/>
        <s v="1754310606-372"/>
        <s v="1754310609-373"/>
        <s v="1754310611-374"/>
        <s v="1754310614-375"/>
        <s v="1754310616-376"/>
        <s v="1754310619-377"/>
        <s v="1754310622-378"/>
        <s v="1754310631-379"/>
        <s v="1754310641-380"/>
        <s v="1754310646-381"/>
        <s v="1754310648-382"/>
        <s v="1754310655-383"/>
        <s v="1754310657-384"/>
        <s v="1754310661-385"/>
        <s v="1754310664-386"/>
        <s v="1754310669-387"/>
        <s v="1754310682-388"/>
        <s v="1754310685-389"/>
        <s v="1754310687-390"/>
        <s v="1754310689-391"/>
        <s v="1754310693-392"/>
        <s v="1754310696-393"/>
        <s v="1754310699-394"/>
        <s v="1754310702-395"/>
        <s v="1754310704-396"/>
        <s v="1754310707-397"/>
        <s v="1754310709-398"/>
        <s v="1754310712-399"/>
        <s v="1754310715-400"/>
        <s v="1754310717-401"/>
        <s v="1754310723-402"/>
        <s v="1754310726-403"/>
        <s v="1754310728-404"/>
        <s v="1754310731-405"/>
        <s v="1754310733-406"/>
        <s v="1754310736-407"/>
        <s v="1754310738-408"/>
        <s v="1754310741-409"/>
        <s v="1754310743-410"/>
        <s v="1754310746-411"/>
        <s v="1754310748-412"/>
        <s v="1754310756-413"/>
        <s v="1754310758-414"/>
        <s v="1754310761-415"/>
        <s v="1754310764-416"/>
        <s v="1754310767-417"/>
        <s v="1754310769-418"/>
        <s v="1754310772-419"/>
        <s v="1754310775-420"/>
        <s v="1754310777-421"/>
        <s v="1754310780-422"/>
        <s v="1754310782-423"/>
        <s v="1754310785-424"/>
        <s v="1754310796-425"/>
        <s v="1754310799-426"/>
        <s v="1754310801-427"/>
        <s v="1754310804-428"/>
        <s v="1754310806-429"/>
        <s v="1754310809-430"/>
        <s v="1754310811-431"/>
        <s v="1754310814-432"/>
        <s v="1754310816-433"/>
        <s v="1754310819-434"/>
        <s v="1754310824-435"/>
        <s v="1754310842-436"/>
        <s v="1754310853-437"/>
        <s v="1754310856-438"/>
        <s v="1754310859-439"/>
        <s v="1754310861-440"/>
      </sharedItems>
    </cacheField>
    <cacheField name="PLANT-DATA" numFmtId="49">
      <sharedItems count="175">
        <s v="Oxygreenplant Areca Palm"/>
        <s v="Bijaya Online Store Areca Palm"/>
        <s v="UGAOO Variegated Money Plant"/>
        <s v="UGAOO Golden Money Plant"/>
        <s v="PLANTTOOZS Clove Plant"/>
        <s v="K,M.GREEN Areca Palm"/>
        <s v="ABEFARIYA ZZ Plant"/>
        <s v="EliteGreen Clove Plant"/>
        <s v="UGAOO Jade Plant"/>
        <s v="Cloud Farm Dracaena Plant"/>
        <s v="ABEFARIYA Areca Palm"/>
        <s v="UGAOO Njoy Money Plant"/>
        <s v="Mohomaya Areca Palm"/>
        <s v="Cloud Farm Clove Plant"/>
        <s v="ALG Clove Plant"/>
        <s v="Oxygreenplant Clove Plant"/>
        <s v="Cloud Farm Baugainvillea Plant"/>
        <s v="ABEFARIYA Clove Plant"/>
        <s v="AloGardening Rubber Tree"/>
        <s v="areca palm Areca Palm"/>
        <s v="GreenyOn Clove Plant"/>
        <s v="GreensFord ZZ Plant"/>
        <s v="Globalplants Areca Palm"/>
        <s v="Cloud Farm Pistachio Plant"/>
        <s v="UGAOO Jade Plant, Variegated Money Plant, Golden Money ..."/>
        <s v="Oxygreenplant Anthurium Plant"/>
        <s v="sspykrts Ficus Bonsai"/>
        <s v="UGAOO Areca Palm"/>
        <s v="ABEFARIYA Areca Palm, Areca Palm"/>
        <s v="FSK Clove Plant"/>
        <s v="Cloud Farm ZZ Plant"/>
        <s v="PB REBA PLANT Areca Plam"/>
        <s v="Oxygreenplant ZZ Plant"/>
        <s v="NDS Areca Palm"/>
        <s v="FasonGreen Areca Palm"/>
        <s v="PLANTTOOZS China Palm Plant"/>
        <s v="pb mandira plant Areca Palm"/>
        <s v="AloGardening Areca Palm"/>
        <s v="ABC Areca Palm"/>
        <s v="Darjeeling Planters Jackfruit Plant"/>
        <s v="KPL BERRY PLANT Blackberry Lily Plant"/>
        <s v="MAHAMAYA A TO Z Tuberose/Rajnigandha Plant"/>
        <s v="KPL SWEET BASIL Sweet Basil Plant"/>
        <s v="greenhousestore Portulaca Plant"/>
        <s v="Mohomaya Custard Apple Plant"/>
        <s v="Samarthgreens Apple Plant"/>
        <s v="e generix Betel Nut/Supari Plant"/>
        <s v="CHILLATAI Lily Plant"/>
        <s v="GULMOHAR Royal Poinciana Plant"/>
        <s v="Cloud Farm Dragon Tree"/>
        <s v="Aquinnah Chiku Plant"/>
        <s v="Cloud Farm Jackfruit Plant"/>
        <s v="HERBALISM Jaboticaba Plant"/>
        <s v="langda mango Mango Plant"/>
        <s v="Tha live root hanging jelly Indian Snakeroot Plant"/>
        <s v="Oxygreenplant Tabebuia rosea"/>
        <s v="Aquinnah Kiwi Plant"/>
        <s v="Cloud Farm Rosemary Plant"/>
        <s v="LaughEarth Lemon Plant"/>
        <s v="Jiffy Plants Curtain Creeper Plant"/>
        <s v="BDSresolve Sarpagandha Plant"/>
        <s v="RudraECOM Cherry Fruit Plant"/>
        <s v="Greensolution Jade Plant"/>
        <s v="Biswas Bloom Rose Plant, Rose Apple Plant"/>
        <s v="FSK Kiwi Plant"/>
        <s v="Risenshine Curry Leaf Plant"/>
        <s v="LATOSTAZAS Litchi Plant"/>
        <s v="Gopikananda Berry Plant"/>
        <s v="Ebainz Brazilian Wood"/>
        <s v="EarthAngel Bougainvillea Plant"/>
        <s v="Global Mart Plant Indian Snakeroot Plant"/>
        <s v="greenhousestore Golden Champa Plant"/>
        <s v="Heaven Of Saplings Apple Plant"/>
        <s v="Samarthgreens Banana Plant"/>
        <s v="Cloud Farm Pomegranate Plant"/>
        <s v="Cloud Farm Walnut Plant"/>
        <s v="DOOR TO GARDEN Bay Leaf Plant"/>
        <s v="PlantNature Guava Plant"/>
        <s v="amloki Amla Plant"/>
        <s v="suvo nursary Duranta Plant"/>
        <s v="ABEFARIYA Bougainvillea Plant"/>
        <s v="LATOSTAZAS Lemon Plant"/>
        <s v="Aquinnah Areca Palm"/>
        <s v="Aquinnah Graden Bella Palm Plant"/>
        <s v="greenhousestore Crassula Plant"/>
        <s v="greenhousestore Bel Plant"/>
        <s v="Ukanda Litchi Plant"/>
        <s v="greengrow Baleria Plant"/>
        <s v="Cloud Farm Almond Plant"/>
        <s v="DAIVISH Guava Plant"/>
        <s v="Samarthgreens Shami/Jand Plant"/>
        <s v="AquinnahGaden Dragon Tree"/>
        <s v="FSK Betel Nut/Supari Plant"/>
        <s v="Ayansh Plants Sudarshan Medicinal Plant (Pack of 1, Her..."/>
        <s v="AAM Mango Plant"/>
        <s v="Global Mart Plant Insulin Plant"/>
        <s v="DEBNATH Brahma Kamal Plant"/>
        <s v="PLANTTOOZS Shami/Jand Plant"/>
        <s v="Cloud Farm Ashok Plant"/>
        <s v="Global Mart Plant Mini Brazalian wood"/>
        <s v="UGAOO Aralia Plant"/>
        <s v="PLANTTOOZS Red Sandalwood Plant"/>
        <s v="Unisam Bel patra plant Pot Bel Plant"/>
        <s v="PLANTTOOZS Apple Plant"/>
        <s v="MAITRA AND SONS Betel Nut/Supari Plant"/>
        <s v="Barhloew Rasna Plant"/>
        <s v="MAITRA AND SONS Avocado Plant"/>
        <s v="Plant Paradise Rudraksha Plant"/>
        <s v="FarmStorey Echeveria Plant, Sedum Plant"/>
        <s v="MAITRA AND SONS Peace Lily Plant"/>
        <s v="LaughEarth Custard Apple Plant"/>
        <s v="RUKDA Aloe Vera Plant"/>
        <s v="Mohomaya Mango Plant"/>
        <s v="Cloud Farm Pear Plant"/>
        <s v="AloGardening Mango Plant"/>
        <s v="MondallNursery Oxalis"/>
        <s v="Oxygreenplant Shahtoot/Mulberry Plant"/>
        <s v="Click to purchase Madhu Kamini Plant"/>
        <s v="Aquinnah Black Pepper Plant"/>
        <s v="Krishna all time mango plant Mango Plant"/>
        <s v="Gabbro Crasulla Ovata Plant"/>
        <s v="Mohomaya Hibiscus Plant"/>
        <s v="greenhousestore Coconut Plant"/>
        <s v="Aquinnah Nutmeg Plant"/>
        <s v="Greenium Aglaonema Plant"/>
        <s v="greenhousestore Cashew Apple Plant"/>
        <s v="pomgardening Apple Plant"/>
        <s v="Agroholic Traders Money Plant"/>
        <s v="HYBRID Jambu Bira Plant, Kak Jam Plant, Jamun Plant, Wh..."/>
        <s v="GreenHavenn Mahogany Plant"/>
        <s v="UGAOO Snake Plant"/>
        <s v="PEEPALSFARM Betel Leaf Plant"/>
        <s v="Cloud Farm Jade Plant"/>
        <s v="GreenyOn ZZ Plant"/>
        <s v="Augadh Orange Plant"/>
        <s v="My Dream Nursery Syngonium Plant"/>
        <s v="UGAOO Two Layer Bamboo Plant"/>
        <s v="Oaul Store Areca Plam"/>
        <s v="MATARANURSERY Agarwood Plant"/>
        <s v="Flipkart SmartBuy Two Layer Bamboo Plant"/>
        <s v="Cloud Farm Platycladus/Morpankhi Plant"/>
        <s v="DRACENAPLANT RAJDHANINURSERY Dracaena Plant"/>
        <s v="Decorate The World Areca Palm"/>
        <s v="Exotica HRMN Grafted Apple Plant"/>
        <s v="Cloud Farm Apple Plant"/>
        <s v="Risenshine ZZ Plant"/>
        <s v="APOSOLUARD Baugainvillea Plant"/>
        <s v="UGAOO Three Layer Bamboo Plant"/>
        <s v="Cloud Farm Grapes Plant"/>
        <s v="Cloud Farm Orange Plant"/>
        <s v="Aquinnah ZZ Plant"/>
        <s v="Cloud Farm Guava Plant"/>
        <s v="Cloud Farm Hibiscus Plant"/>
        <s v="Cloud Farm Strawberry Plant"/>
        <s v="LivePlant Syngonium Plant"/>
        <s v="Cloud Farm Parijat/Harsingar Plant"/>
        <s v="GLOBQRO Grape Plant"/>
        <s v="AloGardening Shahtoot/Mulberry Plant"/>
        <s v="AloGardening Guava Plant"/>
        <s v="GIRISHA TRADERS Two Layer Bamboo Plant, Lucky Bamboo St..."/>
        <s v="Cloud Farm Tulsi Plant"/>
        <s v="Cloud Farm Kiwi Plant"/>
        <s v="Cloud Farm Peace Lily Plant"/>
        <s v="Real Nature Two Layer Bamboo Plant"/>
        <s v="Cloud Farm Ficus Plant"/>
        <s v="GrowWithUs Clitoria Ternatea Aparajita Plant, Clitoria ..."/>
        <s v="Cloud Farm Jack Fruit Plant"/>
        <s v="Gabbro Two Layer Bamboo Plant"/>
        <s v="AMBRUZZ Rose Plant"/>
        <s v="Hot Climate Apple Plant"/>
        <s v="AloGardening Adenium Plant"/>
        <s v="Mohomaya Star Fruit Carambola Grafted Plant"/>
        <s v="Risenshine Apple Plant"/>
        <s v="PLANTTOOZS Rose Plant"/>
        <s v="SKDIYA Money Plant"/>
      </sharedItems>
    </cacheField>
    <cacheField name="NAME" numFmtId="49">
      <sharedItems count="183">
        <s v="Oxygreenplant Areca Palm  (Hybrid, Pack of 1)"/>
        <s v="Bijaya Online Store Areca Palm  (Hybrid, Pack of 2)"/>
        <s v="UGAOO Variegated Money Plant  (Pack of 1)"/>
        <s v="UGAOO Golden Money Plant  (Pack of 1)"/>
        <s v="PLANTTOOZS Clove Plant  (Hybrid, Pack of 1)"/>
        <s v="K,M.GREEN Areca Palm  (Hybrid, Pack of 1)"/>
        <s v="ABEFARIYA ZZ Plant  (Hybrid, Pack of 1)"/>
        <s v="EliteGreen Clove Plant  (Hybrid, Pack of 1)"/>
        <s v="UGAOO Jade Plant  (Hybrid, Pack of 1)"/>
        <s v="Cloud Farm Dracaena Plant  (Hybrid, Pack of 1)"/>
        <s v="ABEFARIYA Areca Palm  (Hybrid, Pack of 1)"/>
        <s v="UGAOO Njoy Money Plant  (Hybrid, Pack of 1)"/>
        <s v="Mohomaya Areca Palm  (Hybrid, Pack of 1)"/>
        <s v="Cloud Farm Clove Plant  (Hybrid, Pack of 1)"/>
        <s v="ALG Clove Plant  (Hybrid, Pack of 1)"/>
        <s v="Oxygreenplant Clove Plant  (Hybrid, Pack of 1)"/>
        <s v="Cloud Farm Baugainvillea Plant  (Hybrid, Pack of 1)"/>
        <s v="ABEFARIYA Clove Plant  (Hybrid, Pack of 1)"/>
        <s v="AloGardening Rubber Tree  (Hybrid, Pack of 1)"/>
        <s v="areca palm Areca Palm  (Hybrid, Pack of 1)"/>
        <s v="GreenyOn Clove Plant  (Hybrid, Pack of 1)"/>
        <s v="GreensFord ZZ Plant  (Hybrid, Pack of 1)"/>
        <s v="Globalplants Areca Palm  (Hybrid, Pack of 1)"/>
        <s v="UGAOO Jade Plant  (Pack of 1)"/>
        <s v="Cloud Farm Pistachio Plant  (Hybrid, Pack of 1)"/>
        <s v="UGAOO Jade Plant, Variegated Money Plant, Golden Money Plant, Two Layer Bamboo Plant  (Pack of 4)"/>
        <s v="Oxygreenplant Anthurium Plant  (Hybrid, Pack of 1)"/>
        <s v="sspykrts Ficus Bonsai  (Hybrid, Pack of 1)"/>
        <s v="UGAOO Areca Palm  (Hybrid, Pack of 1)"/>
        <s v="ABEFARIYA Areca Palm, Areca Palm  (Hybrid, Pack of 1)"/>
        <s v="FSK Clove Plant  (Hybrid, Pack of 1)"/>
        <s v="Cloud Farm ZZ Plant  (Hybrid, Pack of 1)"/>
        <s v="PB REBA PLANT Areca Plam  (Hybrid, Pack of 1)"/>
        <s v="Oxygreenplant ZZ Plant  (Hybrid, Pack of 1)"/>
        <s v="NDS Areca Palm  (Hybrid, Pack of 1)"/>
        <s v="FasonGreen Areca Palm  (Hybrid, Pack of 1)"/>
        <s v="PLANTTOOZS China Palm Plant  (Hybrid, Pack of 2)"/>
        <s v="pb mandira plant Areca Palm  (Hybrid, Pack of 175)"/>
        <s v="AloGardening Areca Palm  (Hybrid, Pack of 1)"/>
        <s v="ABC Areca Palm  (Pack of 1)"/>
        <s v="pb mandira plant Areca Palm  (Hybrid, Pack of 1)"/>
        <s v="Darjeeling Planters Jackfruit Plant  (Hybrid, Pack of 1)"/>
        <s v="KPL BERRY PLANT Blackberry Lily Plant  (Hybrid, Pack of 1)"/>
        <s v="MAHAMAYA A TO Z Tuberose/Rajnigandha Plant  (Hybrid, Pack of 4)"/>
        <s v="KPL SWEET BASIL Sweet Basil Plant  (Hybrid, Pack of 1)"/>
        <s v="greenhousestore Portulaca Plant  (Hybrid, Pack of 1)"/>
        <s v="Mohomaya Custard Apple Plant  (Pack of 1)"/>
        <s v="Samarthgreens Apple Plant  (Hybrid, Pack of 1)"/>
        <s v="e generix Betel Nut/Supari Plant  (Hybrid, Pack of 2)"/>
        <s v="CHILLATAI Lily Plant  (Pack of 1)"/>
        <s v="GULMOHAR Royal Poinciana Plant  (Hybrid, Pack of 1)"/>
        <s v="Cloud Farm Dragon Tree  (Hybrid, Pack of 1)"/>
        <s v="Aquinnah Chiku Plant  (Hybrid, Pack of 1)"/>
        <s v="Cloud Farm Jackfruit Plant  (Hybrid, Pack of 1)"/>
        <s v="HERBALISM Jaboticaba Plant  (Pack of 1)"/>
        <s v="langda mango Mango Plant  (Hybrid, Pack of 1)"/>
        <s v="Tha live root hanging jelly Indian Snakeroot Plant  (Hybrid, Pack of 1)"/>
        <s v="Oxygreenplant Tabebuia rosea  (Hybrid, Pack of 1)"/>
        <s v="Aquinnah Kiwi Plant  (Hybrid, Pack of 1)"/>
        <s v="Cloud Farm Rosemary Plant  (Hybrid, Pack of 1)"/>
        <s v="LaughEarth Lemon Plant  (Hybrid, Pack of 1)"/>
        <s v="Jiffy Plants Curtain Creeper Plant  (Pack of 1)"/>
        <s v="BDSresolve Sarpagandha Plant  (Hybrid, Pack of 1)"/>
        <s v="RudraECOM Cherry Fruit Plant  (Hybrid, Pack of 1)"/>
        <s v="Greensolution Jade Plant  (Hybrid, Pack of 1)"/>
        <s v="Biswas Bloom Rose Plant, Rose Apple Plant  (Hybrid, Pack of 1)"/>
        <s v="FSK Kiwi Plant  (Hybrid, Pack of 1)"/>
        <s v="Risenshine Curry Leaf Plant  (Pack of 1)"/>
        <s v="LATOSTAZAS Litchi Plant  (Hybrid, Pack of 1)"/>
        <s v="Gopikananda Berry Plant  (Hybrid, Pack of 1)"/>
        <s v="Ebainz Brazilian Wood  (Pack of 1)"/>
        <s v="EarthAngel Bougainvillea Plant  (Hybrid, Pack of 1)"/>
        <s v="Global Mart Plant Indian Snakeroot Plant  (Hybrid, Pack of 1)"/>
        <s v="greenhousestore Golden Champa Plant  (Hybrid, Pack of 1)"/>
        <s v="Heaven Of Saplings Apple Plant  (Hybrid, Pack of 1)"/>
        <s v="Samarthgreens Banana Plant  (Hybrid, Pack of 1)"/>
        <s v="Cloud Farm Pomegranate Plant  (Hybrid, Pack of 1)"/>
        <s v="Cloud Farm Walnut Plant  (Hybrid, Pack of 1)"/>
        <s v="DOOR TO GARDEN Bay Leaf Plant  (Hybrid, Pack of 1)"/>
        <s v="PlantNature Guava Plant  (Hybrid, Pack of 1)"/>
        <s v="amloki Amla Plant  (Hybrid, Pack of 1)"/>
        <s v="suvo nursary Duranta Plant  (Hybrid, Pack of 1)"/>
        <s v="ABEFARIYA Bougainvillea Plant  (Hybrid, Pack of 1)"/>
        <s v="LATOSTAZAS Lemon Plant  (Hybrid, Pack of 1)"/>
        <s v="Aquinnah Areca Palm  (Hybrid, Pack of 1)"/>
        <s v="Aquinnah Graden Bella Palm Plant  (Hybrid, Pack of 1)"/>
        <s v="greenhousestore Crassula Plant  (Hybrid, Pack of 1)"/>
        <s v="greenhousestore Bel Plant  (Hybrid, Pack of 1)"/>
        <s v="Ukanda Litchi Plant  (Hybrid, Pack of 1)"/>
        <s v="greengrow Baleria Plant  (Pack of 1)"/>
        <s v="Cloud Farm Almond Plant  (Hybrid, Pack of 1)"/>
        <s v="DAIVISH Guava Plant  (Pack of 1)"/>
        <s v="Samarthgreens Shami/Jand Plant  (Hybrid, Pack of 1)"/>
        <s v="AquinnahGaden Dragon Tree  (Hybrid, Pack of 3)"/>
        <s v="FSK Betel Nut/Supari Plant  (Hybrid, Pack of 1)"/>
        <s v="Ayansh Plants Sudarshan Medicinal Plant (Pack of 1, Herb)  (Hybrid, Pack of 1)"/>
        <s v="AAM Mango Plant  (Hybrid, Pack of 1)"/>
        <s v="Global Mart Plant Insulin Plant  (Hybrid, Pack of 2)"/>
        <s v="DEBNATH Brahma Kamal Plant  (Hybrid, Pack of 1)"/>
        <s v="PLANTTOOZS Shami/Jand Plant  (Pack of 1)"/>
        <s v="Cloud Farm Ashok Plant  (Hybrid, Pack of 1)"/>
        <s v="Global Mart Plant Mini Brazalian wood  (Hybrid, Pack of 2)"/>
        <s v="UGAOO Aralia Plant  (Hybrid, Pack of 1)"/>
        <s v="PLANTTOOZS Red Sandalwood Plant  (Hybrid, Pack of 1)"/>
        <s v="Unisam Bel patra plant Pot Bel Plant  (Hybrid, Pack of 1)"/>
        <s v="PLANTTOOZS Apple Plant  (Hybrid, Pack of 1)"/>
        <s v="MAITRA AND SONS Betel Nut/Supari Plant  (Hybrid, Pack of 1)"/>
        <s v="Barhloew Rasna Plant  (Hybrid, Pack of 1)"/>
        <s v="MAITRA AND SONS Avocado Plant  (Hybrid, Pack of 1)"/>
        <s v="Plant Paradise Rudraksha Plant  (Hybrid, Pack of 1)"/>
        <s v="FarmStorey Echeveria Plant, Sedum Plant  (Hybrid, Pack of 20)"/>
        <s v="MAITRA AND SONS Peace Lily Plant  (Hybrid, Pack of 1)"/>
        <s v="LaughEarth Custard Apple Plant  (Hybrid, Pack of 1)"/>
        <s v="RUKDA Aloe Vera Plant  (Pack of 2)"/>
        <s v="Mohomaya Mango Plant  (Hybrid, Pack of 1)"/>
        <s v="Cloud Farm Pear Plant  (Hybrid, Pack of 1)"/>
        <s v="AloGardening Mango Plant  (Hybrid, Pack of 1)"/>
        <s v="MondallNursery Oxalis  (Hybrid, Pack of 1)"/>
        <s v="Oxygreenplant Shahtoot/Mulberry Plant  (Hybrid, Pack of 1)"/>
        <s v="Click to purchase Madhu Kamini Plant  (Hybrid, Pack of 1)"/>
        <s v="Aquinnah Black Pepper Plant  (Hybrid, Pack of 1)"/>
        <s v="Krishna all time mango plant Mango Plant  (Hybrid, Pack of 2)"/>
        <s v="Gabbro Crasulla Ovata Plant  (Pack of 1)"/>
        <s v="Mohomaya Hibiscus Plant  (Hybrid, Pack of 1)"/>
        <s v="greenhousestore Coconut Plant  (Hybrid, Pack of 1)"/>
        <s v="Aquinnah Nutmeg Plant  (Hybrid, Pack of 1)"/>
        <s v="Greenium Aglaonema Plant  (Hybrid, Pack of 1)"/>
        <s v="greenhousestore Cashew Apple Plant  (Hybrid, Pack of 1)"/>
        <s v="pomgardening Apple Plant  (Hybrid, Pack of 1)"/>
        <s v="Agroholic Traders Money Plant  (Pack of 1)"/>
        <s v="HYBRID Jambu Bira Plant, Kak Jam Plant, Jamun Plant, White Jamun Plant  (Hybrid, Pack of 1)"/>
        <s v="GreenHavenn Mahogany Plant  (Hybrid, Pack of 3)"/>
        <s v="UGAOO Snake Plant  (Pack of 1)"/>
        <s v="PEEPALSFARM Betel Leaf Plant  (Hybrid, Pack of 1)"/>
        <s v="Cloud Farm Clove Plant  (Hybrid, Pack of 5)"/>
        <s v="Cloud Farm Jade Plant  (Hybrid, Pack of 1)"/>
        <s v="GreenyOn ZZ Plant  (Hybrid, Pack of 1)"/>
        <s v="Augadh Orange Plant  (Hybrid, Pack of 1)"/>
        <s v="My Dream Nursery Syngonium Plant  (Hybrid, Pack of 1)"/>
        <s v="UGAOO Two Layer Bamboo Plant  (Pack of 1)"/>
        <s v="Oaul Store Areca Plam  (Hybrid, Pack of 1)"/>
        <s v="MATARANURSERY Agarwood Plant  (Hybrid, Pack of 1)"/>
        <s v="Flipkart SmartBuy Two Layer Bamboo Plant  (Hybrid, Pack of 1)"/>
        <s v="Cloud Farm Platycladus/Morpankhi Plant  (Hybrid, Pack of 2)"/>
        <s v="DRACENAPLANT RAJDHANINURSERY Dracaena Plant  (Hybrid, Pack of 1)"/>
        <s v="Decorate The World Areca Palm  (Hybrid, Pack of 1)"/>
        <s v="Exotica HRMN Grafted Apple Plant  (Hybrid, Pack of 1)"/>
        <s v="Cloud Farm Apple Plant  (Hybrid, Pack of 1)"/>
        <s v="Risenshine ZZ Plant  (Hybrid, Pack of 1)"/>
        <s v="APOSOLUARD Baugainvillea Plant  (Hybrid, Pack of 1)"/>
        <s v="UGAOO Three Layer Bamboo Plant  (Pack of 1)"/>
        <s v="Cloud Farm Grapes Plant  (Hybrid, Pack of 1)"/>
        <s v="Cloud Farm Orange Plant  (Hybrid, Pack of 1)"/>
        <s v="Aquinnah ZZ Plant  (Hybrid, Pack of 2)"/>
        <s v="Cloud Farm Guava Plant  (Hybrid, Pack of 2)"/>
        <s v="Cloud Farm Grapes Plant  (Hybrid, Pack of 3)"/>
        <s v="Cloud Farm Hibiscus Plant  (Hybrid, Pack of 3)"/>
        <s v="Cloud Farm Strawberry Plant  (Hybrid, Pack of 1)"/>
        <s v="LivePlant Syngonium Plant  (Pack of 2)"/>
        <s v="Cloud Farm Parijat/Harsingar Plant  (Hybrid, Pack of 1)"/>
        <s v="GLOBQRO Grape Plant  (Hybrid, Pack of 1)"/>
        <s v="AloGardening Shahtoot/Mulberry Plant  (Hybrid, Pack of 1)"/>
        <s v="Cloud Farm Grapes Plant  (Hybrid, Pack of 2)"/>
        <s v="AloGardening Guava Plant  (Hybrid, Pack of 1)"/>
        <s v="GIRISHA TRADERS Two Layer Bamboo Plant, Lucky Bamboo Straight Stick, Dracaena Plant  (Pack of 1)"/>
        <s v="Cloud Farm Tulsi Plant  (Hybrid, Pack of 2)"/>
        <s v="Cloud Farm Kiwi Plant  (Hybrid, Pack of 2)"/>
        <s v="Cloud Farm Peace Lily Plant  (Hybrid, Pack of 2)"/>
        <s v="Real Nature Two Layer Bamboo Plant  (Pack of 1)"/>
        <s v="Cloud Farm Ficus Plant  (Hybrid, Pack of 1)"/>
        <s v="GrowWithUs Clitoria Ternatea Aparajita Plant, Clitoria Ternatea Aparajita Plant  (Hybrid, Pack of 1)"/>
        <s v="Cloud Farm Kiwi Plant  (Hybrid, Pack of 1)"/>
        <s v="Cloud Farm Jack Fruit Plant  (Hybrid, Pack of 1)"/>
        <s v="Cloud Farm Hibiscus Plant  (Hybrid, Pack of 4)"/>
        <s v="Gabbro Two Layer Bamboo Plant  (Hybrid, Pack of 1)"/>
        <s v="AMBRUZZ Rose Plant  (Hybrid, Pack of 4)"/>
        <s v="Hot Climate Apple Plant  (Hybrid, Pack of 1)"/>
        <s v="Cloud Farm Guava Plant  (Hybrid, Pack of 1)"/>
        <s v="AloGardening Adenium Plant  (Hybrid, Pack of 6)"/>
        <s v="Mohomaya Star Fruit Carambola Grafted Plant  (Hybrid, Pack of 1)"/>
        <s v="Risenshine Apple Plant  (Hybrid, Pack of 1)"/>
        <s v="PLANTTOOZS Rose Plant  (Hybrid, Pack of 1)"/>
        <s v="SKDIYA Money Plant  (Hybrid, Pack of 1)"/>
      </sharedItems>
    </cacheField>
    <cacheField name="ORIGINAL PRICE" numFmtId="2">
      <sharedItems containsSemiMixedTypes="0" containsString="0" containsNumber="1" containsInteger="1" minValue="199" maxValue="1999" count="70">
        <n v="399"/>
        <n v="299"/>
        <n v="449"/>
        <n v="499"/>
        <n v="1500"/>
        <n v="749"/>
        <n v="549"/>
        <n v="1300"/>
        <n v="565"/>
        <n v="367"/>
        <n v="316"/>
        <n v="599"/>
        <n v="495"/>
        <n v="445"/>
        <n v="369"/>
        <n v="349"/>
        <n v="1999"/>
        <n v="351"/>
        <n v="799"/>
        <n v="1482"/>
        <n v="398"/>
        <n v="1250"/>
        <n v="370"/>
        <n v="199"/>
        <n v="1493"/>
        <n v="300"/>
        <n v="899"/>
        <n v="1033"/>
        <n v="700"/>
        <n v="1489"/>
        <n v="999"/>
        <n v="250"/>
        <n v="560"/>
        <n v="659"/>
        <n v="1200"/>
        <n v="385"/>
        <n v="419"/>
        <n v="500"/>
        <n v="859"/>
        <n v="1420"/>
        <n v="699"/>
        <n v="489"/>
        <n v="389"/>
        <n v="590"/>
        <n v="256"/>
        <n v="600"/>
        <n v="249"/>
        <n v="661"/>
        <n v="788"/>
        <n v="323"/>
        <n v="1000"/>
        <n v="270"/>
        <n v="595"/>
        <n v="598"/>
        <n v="759"/>
        <n v="490"/>
        <n v="339"/>
        <n v="207"/>
        <n v="357"/>
        <n v="800"/>
        <n v="491"/>
        <n v="945"/>
        <n v="622"/>
        <n v="379"/>
        <n v="211"/>
        <n v="1099"/>
        <n v="579"/>
        <n v="789"/>
        <n v="998"/>
        <n v="400"/>
      </sharedItems>
    </cacheField>
    <cacheField name="SPECIAL PRICE" numFmtId="2">
      <sharedItems containsSemiMixedTypes="0" containsString="0" containsNumber="1" containsInteger="1" minValue="116" maxValue="1011" count="93">
        <n v="199"/>
        <n v="171"/>
        <n v="384"/>
        <n v="349"/>
        <n v="150"/>
        <n v="169"/>
        <n v="250"/>
        <n v="153"/>
        <n v="335"/>
        <n v="135"/>
        <n v="160"/>
        <n v="516"/>
        <n v="388"/>
        <n v="145"/>
        <n v="179"/>
        <n v="142"/>
        <n v="264"/>
        <n v="424"/>
        <n v="359"/>
        <n v="196"/>
        <n v="134"/>
        <n v="233"/>
        <n v="426"/>
        <n v="155"/>
        <n v="137"/>
        <n v="200"/>
        <n v="215"/>
        <n v="331"/>
        <n v="325"/>
        <n v="1011"/>
        <n v="198"/>
        <n v="149"/>
        <n v="454"/>
        <n v="188"/>
        <n v="132"/>
        <n v="216"/>
        <n v="144"/>
        <n v="165"/>
        <n v="189"/>
        <n v="277"/>
        <n v="207"/>
        <n v="224"/>
        <n v="146"/>
        <n v="140"/>
        <n v="182"/>
        <n v="167"/>
        <n v="528"/>
        <n v="181"/>
        <n v="147"/>
        <n v="492"/>
        <n v="191"/>
        <n v="205"/>
        <n v="180"/>
        <n v="172"/>
        <n v="130"/>
        <n v="253"/>
        <n v="121"/>
        <n v="139"/>
        <n v="158"/>
        <n v="210"/>
        <n v="177"/>
        <n v="231"/>
        <n v="128"/>
        <n v="123"/>
        <n v="161"/>
        <n v="193"/>
        <n v="230"/>
        <n v="170"/>
        <n v="392"/>
        <n v="162"/>
        <n v="279"/>
        <n v="176"/>
        <n v="994"/>
        <n v="270"/>
        <n v="157"/>
        <n v="220"/>
        <n v="222"/>
        <n v="283"/>
        <n v="212"/>
        <n v="120"/>
        <n v="195"/>
        <n v="290"/>
        <n v="217"/>
        <n v="310"/>
        <n v="345"/>
        <n v="203"/>
        <n v="151"/>
        <n v="159"/>
        <n v="380"/>
        <n v="116"/>
        <n v="297"/>
        <n v="300"/>
        <n v="286"/>
      </sharedItems>
    </cacheField>
    <cacheField name="DISCOUNT" numFmtId="9">
      <sharedItems containsSemiMixedTypes="0" containsString="0" containsNumber="1" minValue="0.06" maxValue="0.9" count="66">
        <n v="0.5"/>
        <n v="0.42"/>
        <n v="0.14000000000000001"/>
        <n v="0.22"/>
        <n v="0.69"/>
        <n v="0.66"/>
        <n v="0.83"/>
        <n v="0.48"/>
        <n v="0.32"/>
        <n v="0.89"/>
        <n v="0.31"/>
        <n v="0.28999999999999998"/>
        <n v="0.88"/>
        <n v="0.55000000000000004"/>
        <n v="0.71"/>
        <n v="0.76"/>
        <n v="0.28000000000000003"/>
        <n v="0.15"/>
        <n v="0.2"/>
        <n v="0.37"/>
        <n v="0.77"/>
        <n v="0.87"/>
        <n v="0.25"/>
        <n v="0.68"/>
        <n v="0.24"/>
        <n v="0.49"/>
        <n v="0.41"/>
        <n v="0.33"/>
        <n v="0.06"/>
        <n v="0.7"/>
        <n v="0.43"/>
        <n v="0.73"/>
        <n v="0.45"/>
        <n v="0.51"/>
        <n v="0.57999999999999996"/>
        <n v="0.59"/>
        <n v="0.3"/>
        <n v="0.86"/>
        <n v="0.78"/>
        <n v="0.75"/>
        <n v="0.54"/>
        <n v="0.44"/>
        <n v="0.64"/>
        <n v="0.26"/>
        <n v="0.72"/>
        <n v="0.63"/>
        <n v="0.23"/>
        <n v="0.65"/>
        <n v="0.82"/>
        <n v="0.81"/>
        <n v="0.56999999999999995"/>
        <n v="0.53"/>
        <n v="0.47"/>
        <n v="0.74"/>
        <n v="0.85"/>
        <n v="0.9"/>
        <n v="0.61"/>
        <n v="0.62"/>
        <n v="0.6"/>
        <n v="7.0000000000000007E-2"/>
        <n v="0.21"/>
        <n v="0.84"/>
        <n v="0.67"/>
        <n v="0.27"/>
        <n v="0.35"/>
        <n v="0.36"/>
      </sharedItems>
    </cacheField>
    <cacheField name="RATING" numFmtId="0">
      <sharedItems containsSemiMixedTypes="0" containsString="0" containsNumber="1" minValue="1" maxValue="5" count="32">
        <n v="4"/>
        <n v="1.3"/>
        <n v="4.4000000000000004"/>
        <n v="4.3"/>
        <n v="3"/>
        <n v="2.5"/>
        <n v="3.6"/>
        <n v="3.4"/>
        <n v="2.8"/>
        <n v="3.5"/>
        <n v="4.2"/>
        <n v="2.4"/>
        <n v="4.0999999999999996"/>
        <n v="2.2000000000000002"/>
        <n v="1.7"/>
        <n v="2.6"/>
        <n v="1.8"/>
        <n v="3.1"/>
        <n v="2.2999999999999998"/>
        <n v="1"/>
        <n v="1.9"/>
        <n v="3.3"/>
        <n v="3.7"/>
        <n v="3.2"/>
        <n v="3.9"/>
        <n v="3.8"/>
        <n v="5"/>
        <n v="1.6"/>
        <n v="1.5"/>
        <n v="4.5"/>
        <n v="2.1"/>
        <n v="1.1000000000000001"/>
      </sharedItems>
    </cacheField>
    <cacheField name="PLANT SIZE" numFmtId="49">
      <sharedItems count="4">
        <s v="Medium"/>
        <s v="Small"/>
        <s v=""/>
        <s v="Large"/>
      </sharedItems>
    </cacheField>
    <cacheField name="TYPE" numFmtId="49">
      <sharedItems count="11">
        <s v=" Bonsai"/>
        <s v=" Shrub"/>
        <s v=" Herb"/>
        <s v=" Succulent"/>
        <s v=" Air purifier plant"/>
        <s v=" Foliage"/>
        <s v=" Bamboo"/>
        <s v=" Fruit"/>
        <s v=" Flower"/>
        <s v=" Tree"/>
        <s v=" Creepers and Climbers"/>
      </sharedItems>
    </cacheField>
    <cacheField name="LOCATION" numFmtId="49">
      <sharedItems count="8">
        <s v=" Outdoor"/>
        <s v="indoor \outdoor"/>
        <s v=" Indoor"/>
        <s v=" Indoor, Outdoor"/>
        <s v="indoor \outdoor, Outdoor, Indoor"/>
        <s v="indoor \outdoor, Indoor"/>
        <s v="indoor \outdoor, Outdoor"/>
        <s v=" Indoor,indoor \outdoor, Outdoor"/>
      </sharedItems>
    </cacheField>
    <cacheField name="BRAND NAME" numFmtId="49">
      <sharedItems count="74">
        <s v="OXYGREENPLANT"/>
        <s v="NELSONnurseryPLANT"/>
        <s v="UGAOO"/>
        <s v="AlaiStore"/>
        <s v="MeeraTaders"/>
        <s v="ABEFARIYA"/>
        <s v="GreenyOn"/>
        <s v="SAPLINGO"/>
        <s v="MOHOMAYA"/>
        <s v="SKYTCOM"/>
        <s v="Storynursery"/>
        <s v="RoyANDRoyTraders"/>
        <s v="CuteLittleTrees"/>
        <s v="PSGARDEN"/>
        <s v="Hadiqa"/>
        <s v="Roofgardens"/>
        <s v="ALOCHUZ"/>
        <s v="AYUSHGREENNURSERY"/>
        <s v="TheEntacloo"/>
        <s v="CloudFarming"/>
        <s v="UkandaGaarden"/>
        <s v="MALLICKENTERPRISES0"/>
        <s v="LituGarden"/>
        <s v="RIMARDMISTU"/>
        <s v="Twinkleplanting"/>
        <s v="PBMANDIRAPLANT"/>
        <s v="NarumanamGarden"/>
        <s v="Barhloew"/>
        <s v="GREENOFGREEN"/>
        <s v="Antraskh"/>
        <s v="THEGREENDOTCOM"/>
        <s v="CHILLATAI"/>
        <s v="OxygenCart"/>
        <s v="RUFLEF"/>
        <s v="shrienterprises01"/>
        <s v="Matanga"/>
        <s v="AFARTIOBINA"/>
        <s v="JiffyPlants"/>
        <s v="NATURESNURSERYY"/>
        <s v="SaplingTales"/>
        <s v="BREEZYBLOOM"/>
        <s v="CultivaEnterprise"/>
        <s v="NALQUITS"/>
        <s v="Digitalgreenpar"/>
        <s v="GARDEN CARE"/>
        <s v="MINATITRADERS"/>
        <s v="HORTILIFE"/>
        <s v="Homegraden"/>
        <s v="PBEVERGREEN"/>
        <s v="DaivishNursery"/>
        <s v="Greentropical"/>
        <s v="Tukitu"/>
        <s v="FarmStorey"/>
        <s v="MAITRAANDSONS"/>
        <s v="SRDEWAN"/>
        <s v="Gabbro"/>
        <s v="GLOBQRO"/>
        <s v="Agacha"/>
        <s v="Greenium"/>
        <s v="Sarkarplantenterprise"/>
        <s v="MAQINPLANTHOUSE"/>
        <s v="MiracleGardenn"/>
        <s v="PLANTTOOZS"/>
        <s v="EarthAngel"/>
        <s v="NirmalNursery"/>
        <s v="AGAMI"/>
        <s v="AredalosGarden"/>
        <s v="APOSOLUARD"/>
        <s v="NiMoj"/>
        <s v="RealNature1"/>
        <s v="LaxmiMatanursery"/>
        <s v="Asvora"/>
        <s v="GOPANURSERY"/>
        <s v="RIDHIMAHALDER"/>
      </sharedItems>
    </cacheField>
    <cacheField name="RETURN" numFmtId="49">
      <sharedItems count="1">
        <s v="No Returns Allowed?"/>
      </sharedItems>
    </cacheField>
    <cacheField name="SUM" numFmtId="2">
      <sharedItems containsSemiMixedTypes="0" containsString="0" containsNumber="1" containsInteger="1" minValue="334" maxValue="3010" count="167">
        <n v="598"/>
        <n v="470"/>
        <n v="833"/>
        <n v="798"/>
        <n v="649"/>
        <n v="668"/>
        <n v="1750"/>
        <n v="452"/>
        <n v="834"/>
        <n v="534"/>
        <n v="1660"/>
        <n v="1265"/>
        <n v="937"/>
        <n v="1445"/>
        <n v="578"/>
        <n v="641"/>
        <n v="700"/>
        <n v="631"/>
        <n v="923"/>
        <n v="808"/>
        <n v="512"/>
        <n v="733"/>
        <n v="1469"/>
        <n v="682"/>
        <n v="784"/>
        <n v="925"/>
        <n v="650"/>
        <n v="780"/>
        <n v="1437"/>
        <n v="599"/>
        <n v="584"/>
        <n v="826"/>
        <n v="674"/>
        <n v="644"/>
        <n v="3010"/>
        <n v="549"/>
        <n v="648"/>
        <n v="1253"/>
        <n v="487"/>
        <n v="1631"/>
        <n v="614"/>
        <n v="643"/>
        <n v="444"/>
        <n v="564"/>
        <n v="556"/>
        <n v="1399"/>
        <n v="448"/>
        <n v="558"/>
        <n v="348"/>
        <n v="699"/>
        <n v="676"/>
        <n v="1662"/>
        <n v="606"/>
        <n v="449"/>
        <n v="523"/>
        <n v="1045"/>
        <n v="1173"/>
        <n v="849"/>
        <n v="748"/>
        <n v="581"/>
        <n v="734"/>
        <n v="466"/>
        <n v="2017"/>
        <n v="550"/>
        <n v="346"/>
        <n v="636"/>
        <n v="544"/>
        <n v="1491"/>
        <n v="441"/>
        <n v="765"/>
        <n v="679"/>
        <n v="671"/>
        <n v="629"/>
        <n v="702"/>
        <n v="1178"/>
        <n v="568"/>
        <n v="438"/>
        <n v="639"/>
        <n v="457"/>
        <n v="609"/>
        <n v="1004"/>
        <n v="1377"/>
        <n v="525"/>
        <n v="736"/>
        <n v="1127"/>
        <n v="623"/>
        <n v="1020"/>
        <n v="1562"/>
        <n v="820"/>
        <n v="433"/>
        <n v="677"/>
        <n v="538"/>
        <n v="737"/>
        <n v="697"/>
        <n v="739"/>
        <n v="654"/>
        <n v="750"/>
        <n v="638"/>
        <n v="479"/>
        <n v="669"/>
        <n v="891"/>
        <n v="801"/>
        <n v="928"/>
        <n v="485"/>
        <n v="1278"/>
        <n v="443"/>
        <n v="475"/>
        <n v="2494"/>
        <n v="501"/>
        <n v="1179"/>
        <n v="1269"/>
        <n v="656"/>
        <n v="563"/>
        <n v="1219"/>
        <n v="539"/>
        <n v="410"/>
        <n v="793"/>
        <n v="1221"/>
        <n v="1282"/>
        <n v="778"/>
        <n v="634"/>
        <n v="911"/>
        <n v="745"/>
        <n v="879"/>
        <n v="632"/>
        <n v="594"/>
        <n v="782"/>
        <n v="660"/>
        <n v="711"/>
        <n v="689"/>
        <n v="372"/>
        <n v="474"/>
        <n v="428"/>
        <n v="541"/>
        <n v="336"/>
        <n v="334"/>
        <n v="339"/>
        <n v="709"/>
        <n v="506"/>
        <n v="1344"/>
        <n v="602"/>
        <n v="940"/>
        <n v="757"/>
        <n v="358"/>
        <n v="979"/>
        <n v="658"/>
        <n v="1075"/>
        <n v="646"/>
        <n v="664"/>
        <n v="659"/>
        <n v="394"/>
        <n v="343"/>
        <n v="738"/>
        <n v="536"/>
        <n v="681"/>
        <n v="344"/>
        <n v="361"/>
        <n v="543"/>
        <n v="559"/>
        <n v="996"/>
        <n v="776"/>
        <n v="714"/>
        <n v="1281"/>
        <n v="746"/>
        <n v="579"/>
        <n v="491"/>
        <n v="666"/>
      </sharedItems>
    </cacheField>
    <cacheField name="MAX DISCOUNT" numFmtId="9">
      <sharedItems containsSemiMixedTypes="0" containsString="0" containsNumber="1" minValue="0.06" maxValue="0.9" count="10">
        <n v="0.9"/>
        <n v="0.87"/>
        <n v="0.86"/>
        <n v="0.84"/>
        <n v="0.76"/>
        <n v="0.75"/>
        <n v="0.72"/>
        <n v="0.66"/>
        <n v="0.33"/>
        <n v="0.06"/>
      </sharedItems>
    </cacheField>
  </cacheFields>
  <extLst>
    <ext xmlns:x14="http://schemas.microsoft.com/office/spreadsheetml/2009/9/main" uri="{725AE2AE-9491-48be-B2B4-4EB974FC3084}">
      <x14:pivotCacheDefinition pivotCacheId="4526382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8.598837731479" createdVersion="8" refreshedVersion="8" minRefreshableVersion="3" recordCount="440" xr:uid="{62F02152-EDF1-4946-9E8A-69507E5916B9}">
  <cacheSource type="worksheet">
    <worksheetSource ref="A1:O441" sheet="clean data"/>
  </cacheSource>
  <cacheFields count="15">
    <cacheField name="ID" numFmtId="49">
      <sharedItems/>
    </cacheField>
    <cacheField name="PLANT-DATA" numFmtId="49">
      <sharedItems/>
    </cacheField>
    <cacheField name="NAME" numFmtId="49">
      <sharedItems/>
    </cacheField>
    <cacheField name="ORIGINAL PRICE" numFmtId="2">
      <sharedItems containsSemiMixedTypes="0" containsString="0" containsNumber="1" containsInteger="1" minValue="199" maxValue="1999"/>
    </cacheField>
    <cacheField name="SPECIAL PRICE" numFmtId="2">
      <sharedItems containsSemiMixedTypes="0" containsString="0" containsNumber="1" containsInteger="1" minValue="116" maxValue="1011"/>
    </cacheField>
    <cacheField name="DISCOUNT" numFmtId="9">
      <sharedItems containsSemiMixedTypes="0" containsString="0" containsNumber="1" minValue="0.06" maxValue="0.9"/>
    </cacheField>
    <cacheField name="RATING" numFmtId="0">
      <sharedItems containsSemiMixedTypes="0" containsString="0" containsNumber="1" minValue="1" maxValue="5"/>
    </cacheField>
    <cacheField name="PLANT SIZE" numFmtId="49">
      <sharedItems/>
    </cacheField>
    <cacheField name="TYPE" numFmtId="49">
      <sharedItems/>
    </cacheField>
    <cacheField name="LOCATION" numFmtId="49">
      <sharedItems/>
    </cacheField>
    <cacheField name="BRAND NAME" numFmtId="49">
      <sharedItems/>
    </cacheField>
    <cacheField name="RETURN" numFmtId="49">
      <sharedItems/>
    </cacheField>
    <cacheField name="SUM" numFmtId="2">
      <sharedItems containsSemiMixedTypes="0" containsString="0" containsNumber="1" containsInteger="1" minValue="334" maxValue="3010"/>
    </cacheField>
    <cacheField name="MAX DISCOUNT" numFmtId="9">
      <sharedItems containsSemiMixedTypes="0" containsString="0" containsNumber="1" minValue="0.06" maxValue="0.9"/>
    </cacheField>
    <cacheField name="feng shui"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
  <r>
    <x v="0"/>
    <x v="0"/>
    <x v="0"/>
    <x v="0"/>
    <x v="0"/>
    <x v="0"/>
    <x v="0"/>
    <x v="0"/>
    <x v="0"/>
    <x v="0"/>
    <x v="0"/>
    <x v="0"/>
    <x v="0"/>
    <x v="0"/>
  </r>
  <r>
    <x v="1"/>
    <x v="1"/>
    <x v="1"/>
    <x v="1"/>
    <x v="1"/>
    <x v="1"/>
    <x v="1"/>
    <x v="1"/>
    <x v="0"/>
    <x v="1"/>
    <x v="1"/>
    <x v="0"/>
    <x v="1"/>
    <x v="0"/>
  </r>
  <r>
    <x v="2"/>
    <x v="2"/>
    <x v="2"/>
    <x v="2"/>
    <x v="2"/>
    <x v="2"/>
    <x v="2"/>
    <x v="1"/>
    <x v="1"/>
    <x v="2"/>
    <x v="2"/>
    <x v="0"/>
    <x v="2"/>
    <x v="0"/>
  </r>
  <r>
    <x v="3"/>
    <x v="3"/>
    <x v="3"/>
    <x v="2"/>
    <x v="3"/>
    <x v="3"/>
    <x v="3"/>
    <x v="1"/>
    <x v="1"/>
    <x v="2"/>
    <x v="2"/>
    <x v="0"/>
    <x v="3"/>
    <x v="0"/>
  </r>
  <r>
    <x v="4"/>
    <x v="4"/>
    <x v="4"/>
    <x v="3"/>
    <x v="4"/>
    <x v="4"/>
    <x v="0"/>
    <x v="0"/>
    <x v="2"/>
    <x v="0"/>
    <x v="3"/>
    <x v="0"/>
    <x v="4"/>
    <x v="0"/>
  </r>
  <r>
    <x v="5"/>
    <x v="5"/>
    <x v="5"/>
    <x v="3"/>
    <x v="5"/>
    <x v="5"/>
    <x v="4"/>
    <x v="1"/>
    <x v="2"/>
    <x v="1"/>
    <x v="4"/>
    <x v="0"/>
    <x v="5"/>
    <x v="0"/>
  </r>
  <r>
    <x v="6"/>
    <x v="6"/>
    <x v="6"/>
    <x v="4"/>
    <x v="6"/>
    <x v="6"/>
    <x v="0"/>
    <x v="1"/>
    <x v="1"/>
    <x v="1"/>
    <x v="5"/>
    <x v="0"/>
    <x v="6"/>
    <x v="0"/>
  </r>
  <r>
    <x v="7"/>
    <x v="7"/>
    <x v="7"/>
    <x v="1"/>
    <x v="7"/>
    <x v="7"/>
    <x v="5"/>
    <x v="1"/>
    <x v="2"/>
    <x v="0"/>
    <x v="3"/>
    <x v="0"/>
    <x v="7"/>
    <x v="0"/>
  </r>
  <r>
    <x v="8"/>
    <x v="2"/>
    <x v="2"/>
    <x v="2"/>
    <x v="2"/>
    <x v="2"/>
    <x v="2"/>
    <x v="1"/>
    <x v="1"/>
    <x v="2"/>
    <x v="2"/>
    <x v="0"/>
    <x v="2"/>
    <x v="0"/>
  </r>
  <r>
    <x v="9"/>
    <x v="8"/>
    <x v="8"/>
    <x v="3"/>
    <x v="8"/>
    <x v="8"/>
    <x v="0"/>
    <x v="1"/>
    <x v="3"/>
    <x v="2"/>
    <x v="2"/>
    <x v="0"/>
    <x v="8"/>
    <x v="0"/>
  </r>
  <r>
    <x v="10"/>
    <x v="9"/>
    <x v="9"/>
    <x v="0"/>
    <x v="9"/>
    <x v="5"/>
    <x v="0"/>
    <x v="0"/>
    <x v="1"/>
    <x v="0"/>
    <x v="6"/>
    <x v="0"/>
    <x v="9"/>
    <x v="0"/>
  </r>
  <r>
    <x v="11"/>
    <x v="10"/>
    <x v="10"/>
    <x v="4"/>
    <x v="10"/>
    <x v="9"/>
    <x v="0"/>
    <x v="1"/>
    <x v="4"/>
    <x v="1"/>
    <x v="1"/>
    <x v="0"/>
    <x v="10"/>
    <x v="0"/>
  </r>
  <r>
    <x v="12"/>
    <x v="8"/>
    <x v="8"/>
    <x v="5"/>
    <x v="11"/>
    <x v="10"/>
    <x v="6"/>
    <x v="1"/>
    <x v="3"/>
    <x v="2"/>
    <x v="2"/>
    <x v="0"/>
    <x v="11"/>
    <x v="0"/>
  </r>
  <r>
    <x v="13"/>
    <x v="11"/>
    <x v="11"/>
    <x v="6"/>
    <x v="12"/>
    <x v="11"/>
    <x v="3"/>
    <x v="1"/>
    <x v="5"/>
    <x v="2"/>
    <x v="2"/>
    <x v="0"/>
    <x v="12"/>
    <x v="0"/>
  </r>
  <r>
    <x v="14"/>
    <x v="10"/>
    <x v="10"/>
    <x v="7"/>
    <x v="13"/>
    <x v="12"/>
    <x v="0"/>
    <x v="1"/>
    <x v="4"/>
    <x v="1"/>
    <x v="7"/>
    <x v="0"/>
    <x v="13"/>
    <x v="0"/>
  </r>
  <r>
    <x v="15"/>
    <x v="12"/>
    <x v="12"/>
    <x v="0"/>
    <x v="14"/>
    <x v="13"/>
    <x v="0"/>
    <x v="1"/>
    <x v="6"/>
    <x v="1"/>
    <x v="8"/>
    <x v="0"/>
    <x v="14"/>
    <x v="0"/>
  </r>
  <r>
    <x v="16"/>
    <x v="13"/>
    <x v="13"/>
    <x v="3"/>
    <x v="15"/>
    <x v="14"/>
    <x v="0"/>
    <x v="0"/>
    <x v="2"/>
    <x v="0"/>
    <x v="3"/>
    <x v="0"/>
    <x v="15"/>
    <x v="0"/>
  </r>
  <r>
    <x v="17"/>
    <x v="14"/>
    <x v="14"/>
    <x v="8"/>
    <x v="9"/>
    <x v="15"/>
    <x v="7"/>
    <x v="1"/>
    <x v="2"/>
    <x v="0"/>
    <x v="3"/>
    <x v="0"/>
    <x v="16"/>
    <x v="0"/>
  </r>
  <r>
    <x v="18"/>
    <x v="3"/>
    <x v="3"/>
    <x v="2"/>
    <x v="3"/>
    <x v="3"/>
    <x v="3"/>
    <x v="1"/>
    <x v="1"/>
    <x v="2"/>
    <x v="2"/>
    <x v="0"/>
    <x v="3"/>
    <x v="0"/>
  </r>
  <r>
    <x v="19"/>
    <x v="3"/>
    <x v="3"/>
    <x v="2"/>
    <x v="3"/>
    <x v="3"/>
    <x v="3"/>
    <x v="1"/>
    <x v="1"/>
    <x v="2"/>
    <x v="2"/>
    <x v="0"/>
    <x v="3"/>
    <x v="0"/>
  </r>
  <r>
    <x v="20"/>
    <x v="15"/>
    <x v="15"/>
    <x v="9"/>
    <x v="16"/>
    <x v="16"/>
    <x v="0"/>
    <x v="0"/>
    <x v="2"/>
    <x v="0"/>
    <x v="0"/>
    <x v="0"/>
    <x v="17"/>
    <x v="0"/>
  </r>
  <r>
    <x v="21"/>
    <x v="16"/>
    <x v="16"/>
    <x v="0"/>
    <x v="9"/>
    <x v="5"/>
    <x v="0"/>
    <x v="0"/>
    <x v="7"/>
    <x v="0"/>
    <x v="6"/>
    <x v="0"/>
    <x v="9"/>
    <x v="0"/>
  </r>
  <r>
    <x v="22"/>
    <x v="8"/>
    <x v="8"/>
    <x v="3"/>
    <x v="17"/>
    <x v="17"/>
    <x v="3"/>
    <x v="1"/>
    <x v="3"/>
    <x v="2"/>
    <x v="2"/>
    <x v="0"/>
    <x v="18"/>
    <x v="0"/>
  </r>
  <r>
    <x v="23"/>
    <x v="2"/>
    <x v="2"/>
    <x v="2"/>
    <x v="18"/>
    <x v="18"/>
    <x v="2"/>
    <x v="1"/>
    <x v="1"/>
    <x v="2"/>
    <x v="2"/>
    <x v="0"/>
    <x v="19"/>
    <x v="0"/>
  </r>
  <r>
    <x v="24"/>
    <x v="1"/>
    <x v="1"/>
    <x v="10"/>
    <x v="19"/>
    <x v="19"/>
    <x v="8"/>
    <x v="1"/>
    <x v="1"/>
    <x v="1"/>
    <x v="9"/>
    <x v="0"/>
    <x v="20"/>
    <x v="0"/>
  </r>
  <r>
    <x v="25"/>
    <x v="17"/>
    <x v="17"/>
    <x v="11"/>
    <x v="20"/>
    <x v="20"/>
    <x v="9"/>
    <x v="1"/>
    <x v="2"/>
    <x v="0"/>
    <x v="3"/>
    <x v="0"/>
    <x v="21"/>
    <x v="0"/>
  </r>
  <r>
    <x v="26"/>
    <x v="10"/>
    <x v="10"/>
    <x v="7"/>
    <x v="5"/>
    <x v="21"/>
    <x v="0"/>
    <x v="1"/>
    <x v="4"/>
    <x v="1"/>
    <x v="10"/>
    <x v="0"/>
    <x v="22"/>
    <x v="0"/>
  </r>
  <r>
    <x v="27"/>
    <x v="18"/>
    <x v="18"/>
    <x v="2"/>
    <x v="21"/>
    <x v="7"/>
    <x v="0"/>
    <x v="1"/>
    <x v="5"/>
    <x v="3"/>
    <x v="11"/>
    <x v="0"/>
    <x v="23"/>
    <x v="0"/>
  </r>
  <r>
    <x v="28"/>
    <x v="8"/>
    <x v="8"/>
    <x v="2"/>
    <x v="8"/>
    <x v="22"/>
    <x v="0"/>
    <x v="1"/>
    <x v="3"/>
    <x v="2"/>
    <x v="2"/>
    <x v="0"/>
    <x v="24"/>
    <x v="0"/>
  </r>
  <r>
    <x v="29"/>
    <x v="8"/>
    <x v="8"/>
    <x v="3"/>
    <x v="22"/>
    <x v="2"/>
    <x v="10"/>
    <x v="1"/>
    <x v="3"/>
    <x v="2"/>
    <x v="2"/>
    <x v="0"/>
    <x v="25"/>
    <x v="0"/>
  </r>
  <r>
    <x v="30"/>
    <x v="19"/>
    <x v="19"/>
    <x v="12"/>
    <x v="23"/>
    <x v="23"/>
    <x v="0"/>
    <x v="1"/>
    <x v="6"/>
    <x v="1"/>
    <x v="12"/>
    <x v="0"/>
    <x v="26"/>
    <x v="0"/>
  </r>
  <r>
    <x v="31"/>
    <x v="6"/>
    <x v="6"/>
    <x v="4"/>
    <x v="6"/>
    <x v="6"/>
    <x v="0"/>
    <x v="1"/>
    <x v="1"/>
    <x v="1"/>
    <x v="5"/>
    <x v="0"/>
    <x v="6"/>
    <x v="0"/>
  </r>
  <r>
    <x v="32"/>
    <x v="8"/>
    <x v="8"/>
    <x v="3"/>
    <x v="8"/>
    <x v="8"/>
    <x v="0"/>
    <x v="1"/>
    <x v="3"/>
    <x v="2"/>
    <x v="2"/>
    <x v="0"/>
    <x v="8"/>
    <x v="0"/>
  </r>
  <r>
    <x v="33"/>
    <x v="2"/>
    <x v="2"/>
    <x v="13"/>
    <x v="8"/>
    <x v="24"/>
    <x v="2"/>
    <x v="1"/>
    <x v="1"/>
    <x v="2"/>
    <x v="2"/>
    <x v="0"/>
    <x v="27"/>
    <x v="0"/>
  </r>
  <r>
    <x v="34"/>
    <x v="10"/>
    <x v="10"/>
    <x v="7"/>
    <x v="24"/>
    <x v="9"/>
    <x v="11"/>
    <x v="1"/>
    <x v="4"/>
    <x v="1"/>
    <x v="13"/>
    <x v="0"/>
    <x v="28"/>
    <x v="0"/>
  </r>
  <r>
    <x v="35"/>
    <x v="20"/>
    <x v="20"/>
    <x v="0"/>
    <x v="9"/>
    <x v="5"/>
    <x v="0"/>
    <x v="0"/>
    <x v="2"/>
    <x v="0"/>
    <x v="14"/>
    <x v="0"/>
    <x v="9"/>
    <x v="0"/>
  </r>
  <r>
    <x v="36"/>
    <x v="21"/>
    <x v="21"/>
    <x v="0"/>
    <x v="25"/>
    <x v="25"/>
    <x v="0"/>
    <x v="1"/>
    <x v="2"/>
    <x v="1"/>
    <x v="15"/>
    <x v="0"/>
    <x v="29"/>
    <x v="0"/>
  </r>
  <r>
    <x v="37"/>
    <x v="22"/>
    <x v="22"/>
    <x v="14"/>
    <x v="26"/>
    <x v="26"/>
    <x v="0"/>
    <x v="1"/>
    <x v="3"/>
    <x v="2"/>
    <x v="16"/>
    <x v="0"/>
    <x v="30"/>
    <x v="0"/>
  </r>
  <r>
    <x v="38"/>
    <x v="8"/>
    <x v="8"/>
    <x v="12"/>
    <x v="27"/>
    <x v="27"/>
    <x v="12"/>
    <x v="1"/>
    <x v="3"/>
    <x v="2"/>
    <x v="2"/>
    <x v="0"/>
    <x v="31"/>
    <x v="0"/>
  </r>
  <r>
    <x v="39"/>
    <x v="8"/>
    <x v="23"/>
    <x v="15"/>
    <x v="28"/>
    <x v="28"/>
    <x v="0"/>
    <x v="1"/>
    <x v="3"/>
    <x v="2"/>
    <x v="2"/>
    <x v="0"/>
    <x v="32"/>
    <x v="0"/>
  </r>
  <r>
    <x v="40"/>
    <x v="23"/>
    <x v="24"/>
    <x v="3"/>
    <x v="13"/>
    <x v="29"/>
    <x v="0"/>
    <x v="0"/>
    <x v="7"/>
    <x v="0"/>
    <x v="3"/>
    <x v="0"/>
    <x v="33"/>
    <x v="0"/>
  </r>
  <r>
    <x v="41"/>
    <x v="24"/>
    <x v="25"/>
    <x v="16"/>
    <x v="29"/>
    <x v="25"/>
    <x v="10"/>
    <x v="1"/>
    <x v="4"/>
    <x v="2"/>
    <x v="2"/>
    <x v="0"/>
    <x v="34"/>
    <x v="0"/>
  </r>
  <r>
    <x v="42"/>
    <x v="2"/>
    <x v="2"/>
    <x v="2"/>
    <x v="2"/>
    <x v="2"/>
    <x v="2"/>
    <x v="1"/>
    <x v="1"/>
    <x v="2"/>
    <x v="2"/>
    <x v="0"/>
    <x v="2"/>
    <x v="0"/>
  </r>
  <r>
    <x v="43"/>
    <x v="3"/>
    <x v="3"/>
    <x v="2"/>
    <x v="3"/>
    <x v="3"/>
    <x v="3"/>
    <x v="1"/>
    <x v="1"/>
    <x v="2"/>
    <x v="2"/>
    <x v="0"/>
    <x v="3"/>
    <x v="0"/>
  </r>
  <r>
    <x v="44"/>
    <x v="25"/>
    <x v="26"/>
    <x v="17"/>
    <x v="30"/>
    <x v="30"/>
    <x v="0"/>
    <x v="1"/>
    <x v="0"/>
    <x v="2"/>
    <x v="0"/>
    <x v="0"/>
    <x v="35"/>
    <x v="0"/>
  </r>
  <r>
    <x v="45"/>
    <x v="26"/>
    <x v="27"/>
    <x v="3"/>
    <x v="31"/>
    <x v="29"/>
    <x v="13"/>
    <x v="1"/>
    <x v="0"/>
    <x v="2"/>
    <x v="17"/>
    <x v="0"/>
    <x v="36"/>
    <x v="0"/>
  </r>
  <r>
    <x v="46"/>
    <x v="27"/>
    <x v="28"/>
    <x v="18"/>
    <x v="32"/>
    <x v="30"/>
    <x v="10"/>
    <x v="0"/>
    <x v="6"/>
    <x v="2"/>
    <x v="2"/>
    <x v="0"/>
    <x v="37"/>
    <x v="0"/>
  </r>
  <r>
    <x v="47"/>
    <x v="1"/>
    <x v="1"/>
    <x v="1"/>
    <x v="33"/>
    <x v="19"/>
    <x v="14"/>
    <x v="1"/>
    <x v="0"/>
    <x v="1"/>
    <x v="18"/>
    <x v="0"/>
    <x v="38"/>
    <x v="0"/>
  </r>
  <r>
    <x v="48"/>
    <x v="2"/>
    <x v="2"/>
    <x v="2"/>
    <x v="2"/>
    <x v="2"/>
    <x v="2"/>
    <x v="1"/>
    <x v="1"/>
    <x v="2"/>
    <x v="2"/>
    <x v="0"/>
    <x v="2"/>
    <x v="0"/>
  </r>
  <r>
    <x v="49"/>
    <x v="8"/>
    <x v="8"/>
    <x v="3"/>
    <x v="8"/>
    <x v="8"/>
    <x v="0"/>
    <x v="1"/>
    <x v="3"/>
    <x v="2"/>
    <x v="2"/>
    <x v="0"/>
    <x v="8"/>
    <x v="0"/>
  </r>
  <r>
    <x v="50"/>
    <x v="28"/>
    <x v="29"/>
    <x v="19"/>
    <x v="31"/>
    <x v="9"/>
    <x v="0"/>
    <x v="1"/>
    <x v="4"/>
    <x v="1"/>
    <x v="1"/>
    <x v="0"/>
    <x v="39"/>
    <x v="0"/>
  </r>
  <r>
    <x v="51"/>
    <x v="13"/>
    <x v="13"/>
    <x v="3"/>
    <x v="34"/>
    <x v="31"/>
    <x v="0"/>
    <x v="0"/>
    <x v="2"/>
    <x v="1"/>
    <x v="19"/>
    <x v="0"/>
    <x v="17"/>
    <x v="0"/>
  </r>
  <r>
    <x v="52"/>
    <x v="8"/>
    <x v="8"/>
    <x v="5"/>
    <x v="11"/>
    <x v="10"/>
    <x v="6"/>
    <x v="1"/>
    <x v="3"/>
    <x v="2"/>
    <x v="2"/>
    <x v="0"/>
    <x v="11"/>
    <x v="0"/>
  </r>
  <r>
    <x v="53"/>
    <x v="11"/>
    <x v="11"/>
    <x v="6"/>
    <x v="12"/>
    <x v="11"/>
    <x v="3"/>
    <x v="1"/>
    <x v="5"/>
    <x v="2"/>
    <x v="2"/>
    <x v="0"/>
    <x v="12"/>
    <x v="0"/>
  </r>
  <r>
    <x v="54"/>
    <x v="0"/>
    <x v="0"/>
    <x v="20"/>
    <x v="35"/>
    <x v="32"/>
    <x v="0"/>
    <x v="0"/>
    <x v="2"/>
    <x v="3"/>
    <x v="0"/>
    <x v="0"/>
    <x v="40"/>
    <x v="0"/>
  </r>
  <r>
    <x v="55"/>
    <x v="29"/>
    <x v="30"/>
    <x v="3"/>
    <x v="36"/>
    <x v="14"/>
    <x v="15"/>
    <x v="0"/>
    <x v="2"/>
    <x v="0"/>
    <x v="6"/>
    <x v="0"/>
    <x v="41"/>
    <x v="0"/>
  </r>
  <r>
    <x v="56"/>
    <x v="30"/>
    <x v="31"/>
    <x v="1"/>
    <x v="13"/>
    <x v="33"/>
    <x v="14"/>
    <x v="1"/>
    <x v="0"/>
    <x v="3"/>
    <x v="3"/>
    <x v="0"/>
    <x v="42"/>
    <x v="0"/>
  </r>
  <r>
    <x v="57"/>
    <x v="31"/>
    <x v="32"/>
    <x v="0"/>
    <x v="37"/>
    <x v="34"/>
    <x v="0"/>
    <x v="0"/>
    <x v="6"/>
    <x v="3"/>
    <x v="20"/>
    <x v="0"/>
    <x v="43"/>
    <x v="0"/>
  </r>
  <r>
    <x v="58"/>
    <x v="3"/>
    <x v="3"/>
    <x v="2"/>
    <x v="3"/>
    <x v="3"/>
    <x v="3"/>
    <x v="1"/>
    <x v="1"/>
    <x v="2"/>
    <x v="2"/>
    <x v="0"/>
    <x v="3"/>
    <x v="0"/>
  </r>
  <r>
    <x v="59"/>
    <x v="3"/>
    <x v="3"/>
    <x v="2"/>
    <x v="3"/>
    <x v="3"/>
    <x v="3"/>
    <x v="1"/>
    <x v="1"/>
    <x v="2"/>
    <x v="2"/>
    <x v="0"/>
    <x v="3"/>
    <x v="0"/>
  </r>
  <r>
    <x v="60"/>
    <x v="32"/>
    <x v="33"/>
    <x v="9"/>
    <x v="38"/>
    <x v="7"/>
    <x v="0"/>
    <x v="0"/>
    <x v="2"/>
    <x v="1"/>
    <x v="0"/>
    <x v="0"/>
    <x v="44"/>
    <x v="0"/>
  </r>
  <r>
    <x v="61"/>
    <x v="10"/>
    <x v="10"/>
    <x v="21"/>
    <x v="31"/>
    <x v="12"/>
    <x v="0"/>
    <x v="1"/>
    <x v="4"/>
    <x v="1"/>
    <x v="21"/>
    <x v="0"/>
    <x v="45"/>
    <x v="0"/>
  </r>
  <r>
    <x v="62"/>
    <x v="8"/>
    <x v="8"/>
    <x v="3"/>
    <x v="17"/>
    <x v="17"/>
    <x v="3"/>
    <x v="1"/>
    <x v="3"/>
    <x v="2"/>
    <x v="2"/>
    <x v="0"/>
    <x v="18"/>
    <x v="0"/>
  </r>
  <r>
    <x v="63"/>
    <x v="2"/>
    <x v="2"/>
    <x v="2"/>
    <x v="18"/>
    <x v="18"/>
    <x v="2"/>
    <x v="1"/>
    <x v="1"/>
    <x v="2"/>
    <x v="2"/>
    <x v="0"/>
    <x v="19"/>
    <x v="0"/>
  </r>
  <r>
    <x v="64"/>
    <x v="31"/>
    <x v="32"/>
    <x v="1"/>
    <x v="31"/>
    <x v="0"/>
    <x v="0"/>
    <x v="0"/>
    <x v="6"/>
    <x v="3"/>
    <x v="22"/>
    <x v="0"/>
    <x v="46"/>
    <x v="0"/>
  </r>
  <r>
    <x v="65"/>
    <x v="33"/>
    <x v="34"/>
    <x v="22"/>
    <x v="33"/>
    <x v="25"/>
    <x v="4"/>
    <x v="1"/>
    <x v="5"/>
    <x v="2"/>
    <x v="23"/>
    <x v="0"/>
    <x v="47"/>
    <x v="0"/>
  </r>
  <r>
    <x v="66"/>
    <x v="13"/>
    <x v="13"/>
    <x v="0"/>
    <x v="9"/>
    <x v="5"/>
    <x v="0"/>
    <x v="0"/>
    <x v="2"/>
    <x v="1"/>
    <x v="6"/>
    <x v="0"/>
    <x v="9"/>
    <x v="0"/>
  </r>
  <r>
    <x v="67"/>
    <x v="34"/>
    <x v="35"/>
    <x v="23"/>
    <x v="31"/>
    <x v="22"/>
    <x v="13"/>
    <x v="1"/>
    <x v="0"/>
    <x v="0"/>
    <x v="12"/>
    <x v="0"/>
    <x v="48"/>
    <x v="0"/>
  </r>
  <r>
    <x v="68"/>
    <x v="8"/>
    <x v="8"/>
    <x v="2"/>
    <x v="8"/>
    <x v="22"/>
    <x v="0"/>
    <x v="1"/>
    <x v="3"/>
    <x v="2"/>
    <x v="2"/>
    <x v="0"/>
    <x v="24"/>
    <x v="0"/>
  </r>
  <r>
    <x v="69"/>
    <x v="8"/>
    <x v="8"/>
    <x v="3"/>
    <x v="22"/>
    <x v="2"/>
    <x v="10"/>
    <x v="1"/>
    <x v="3"/>
    <x v="2"/>
    <x v="2"/>
    <x v="0"/>
    <x v="25"/>
    <x v="0"/>
  </r>
  <r>
    <x v="70"/>
    <x v="35"/>
    <x v="36"/>
    <x v="3"/>
    <x v="25"/>
    <x v="35"/>
    <x v="0"/>
    <x v="1"/>
    <x v="6"/>
    <x v="3"/>
    <x v="24"/>
    <x v="0"/>
    <x v="49"/>
    <x v="0"/>
  </r>
  <r>
    <x v="71"/>
    <x v="36"/>
    <x v="37"/>
    <x v="0"/>
    <x v="39"/>
    <x v="36"/>
    <x v="0"/>
    <x v="0"/>
    <x v="6"/>
    <x v="3"/>
    <x v="25"/>
    <x v="0"/>
    <x v="50"/>
    <x v="0"/>
  </r>
  <r>
    <x v="72"/>
    <x v="8"/>
    <x v="8"/>
    <x v="3"/>
    <x v="8"/>
    <x v="8"/>
    <x v="0"/>
    <x v="1"/>
    <x v="3"/>
    <x v="2"/>
    <x v="2"/>
    <x v="0"/>
    <x v="8"/>
    <x v="0"/>
  </r>
  <r>
    <x v="73"/>
    <x v="2"/>
    <x v="2"/>
    <x v="13"/>
    <x v="8"/>
    <x v="24"/>
    <x v="2"/>
    <x v="1"/>
    <x v="1"/>
    <x v="2"/>
    <x v="2"/>
    <x v="0"/>
    <x v="27"/>
    <x v="0"/>
  </r>
  <r>
    <x v="74"/>
    <x v="10"/>
    <x v="10"/>
    <x v="24"/>
    <x v="5"/>
    <x v="12"/>
    <x v="0"/>
    <x v="1"/>
    <x v="4"/>
    <x v="1"/>
    <x v="1"/>
    <x v="0"/>
    <x v="51"/>
    <x v="0"/>
  </r>
  <r>
    <x v="75"/>
    <x v="37"/>
    <x v="38"/>
    <x v="0"/>
    <x v="40"/>
    <x v="7"/>
    <x v="0"/>
    <x v="1"/>
    <x v="5"/>
    <x v="1"/>
    <x v="11"/>
    <x v="0"/>
    <x v="52"/>
    <x v="0"/>
  </r>
  <r>
    <x v="76"/>
    <x v="38"/>
    <x v="39"/>
    <x v="25"/>
    <x v="31"/>
    <x v="0"/>
    <x v="16"/>
    <x v="0"/>
    <x v="6"/>
    <x v="1"/>
    <x v="26"/>
    <x v="0"/>
    <x v="53"/>
    <x v="0"/>
  </r>
  <r>
    <x v="77"/>
    <x v="36"/>
    <x v="40"/>
    <x v="1"/>
    <x v="41"/>
    <x v="22"/>
    <x v="0"/>
    <x v="0"/>
    <x v="5"/>
    <x v="3"/>
    <x v="25"/>
    <x v="0"/>
    <x v="54"/>
    <x v="0"/>
  </r>
  <r>
    <x v="78"/>
    <x v="8"/>
    <x v="8"/>
    <x v="12"/>
    <x v="27"/>
    <x v="27"/>
    <x v="12"/>
    <x v="1"/>
    <x v="3"/>
    <x v="2"/>
    <x v="2"/>
    <x v="0"/>
    <x v="31"/>
    <x v="0"/>
  </r>
  <r>
    <x v="79"/>
    <x v="8"/>
    <x v="23"/>
    <x v="15"/>
    <x v="28"/>
    <x v="28"/>
    <x v="0"/>
    <x v="1"/>
    <x v="3"/>
    <x v="2"/>
    <x v="2"/>
    <x v="0"/>
    <x v="32"/>
    <x v="0"/>
  </r>
  <r>
    <x v="80"/>
    <x v="39"/>
    <x v="41"/>
    <x v="0"/>
    <x v="9"/>
    <x v="5"/>
    <x v="17"/>
    <x v="2"/>
    <x v="7"/>
    <x v="0"/>
    <x v="27"/>
    <x v="0"/>
    <x v="9"/>
    <x v="0"/>
  </r>
  <r>
    <x v="81"/>
    <x v="40"/>
    <x v="42"/>
    <x v="26"/>
    <x v="42"/>
    <x v="6"/>
    <x v="18"/>
    <x v="0"/>
    <x v="7"/>
    <x v="0"/>
    <x v="28"/>
    <x v="0"/>
    <x v="55"/>
    <x v="0"/>
  </r>
  <r>
    <x v="82"/>
    <x v="2"/>
    <x v="2"/>
    <x v="2"/>
    <x v="2"/>
    <x v="2"/>
    <x v="2"/>
    <x v="1"/>
    <x v="1"/>
    <x v="2"/>
    <x v="2"/>
    <x v="0"/>
    <x v="2"/>
    <x v="0"/>
  </r>
  <r>
    <x v="83"/>
    <x v="3"/>
    <x v="3"/>
    <x v="2"/>
    <x v="3"/>
    <x v="3"/>
    <x v="3"/>
    <x v="1"/>
    <x v="1"/>
    <x v="2"/>
    <x v="2"/>
    <x v="0"/>
    <x v="3"/>
    <x v="0"/>
  </r>
  <r>
    <x v="84"/>
    <x v="41"/>
    <x v="43"/>
    <x v="27"/>
    <x v="43"/>
    <x v="37"/>
    <x v="12"/>
    <x v="1"/>
    <x v="8"/>
    <x v="1"/>
    <x v="3"/>
    <x v="0"/>
    <x v="56"/>
    <x v="0"/>
  </r>
  <r>
    <x v="85"/>
    <x v="42"/>
    <x v="44"/>
    <x v="28"/>
    <x v="31"/>
    <x v="38"/>
    <x v="0"/>
    <x v="0"/>
    <x v="9"/>
    <x v="0"/>
    <x v="22"/>
    <x v="0"/>
    <x v="57"/>
    <x v="0"/>
  </r>
  <r>
    <x v="86"/>
    <x v="43"/>
    <x v="45"/>
    <x v="11"/>
    <x v="31"/>
    <x v="39"/>
    <x v="19"/>
    <x v="1"/>
    <x v="8"/>
    <x v="1"/>
    <x v="29"/>
    <x v="0"/>
    <x v="58"/>
    <x v="0"/>
  </r>
  <r>
    <x v="87"/>
    <x v="44"/>
    <x v="46"/>
    <x v="0"/>
    <x v="44"/>
    <x v="40"/>
    <x v="20"/>
    <x v="1"/>
    <x v="7"/>
    <x v="0"/>
    <x v="23"/>
    <x v="0"/>
    <x v="59"/>
    <x v="0"/>
  </r>
  <r>
    <x v="88"/>
    <x v="2"/>
    <x v="2"/>
    <x v="2"/>
    <x v="2"/>
    <x v="2"/>
    <x v="2"/>
    <x v="1"/>
    <x v="1"/>
    <x v="2"/>
    <x v="2"/>
    <x v="0"/>
    <x v="2"/>
    <x v="0"/>
  </r>
  <r>
    <x v="89"/>
    <x v="8"/>
    <x v="8"/>
    <x v="3"/>
    <x v="8"/>
    <x v="8"/>
    <x v="0"/>
    <x v="1"/>
    <x v="3"/>
    <x v="2"/>
    <x v="2"/>
    <x v="0"/>
    <x v="8"/>
    <x v="0"/>
  </r>
  <r>
    <x v="90"/>
    <x v="45"/>
    <x v="47"/>
    <x v="11"/>
    <x v="9"/>
    <x v="20"/>
    <x v="6"/>
    <x v="1"/>
    <x v="7"/>
    <x v="0"/>
    <x v="3"/>
    <x v="0"/>
    <x v="60"/>
    <x v="0"/>
  </r>
  <r>
    <x v="91"/>
    <x v="46"/>
    <x v="48"/>
    <x v="1"/>
    <x v="45"/>
    <x v="41"/>
    <x v="9"/>
    <x v="1"/>
    <x v="7"/>
    <x v="0"/>
    <x v="30"/>
    <x v="0"/>
    <x v="61"/>
    <x v="0"/>
  </r>
  <r>
    <x v="92"/>
    <x v="8"/>
    <x v="8"/>
    <x v="5"/>
    <x v="11"/>
    <x v="10"/>
    <x v="6"/>
    <x v="1"/>
    <x v="3"/>
    <x v="2"/>
    <x v="2"/>
    <x v="0"/>
    <x v="11"/>
    <x v="0"/>
  </r>
  <r>
    <x v="93"/>
    <x v="11"/>
    <x v="11"/>
    <x v="6"/>
    <x v="12"/>
    <x v="11"/>
    <x v="3"/>
    <x v="1"/>
    <x v="5"/>
    <x v="2"/>
    <x v="2"/>
    <x v="0"/>
    <x v="12"/>
    <x v="0"/>
  </r>
  <r>
    <x v="94"/>
    <x v="47"/>
    <x v="49"/>
    <x v="29"/>
    <x v="46"/>
    <x v="42"/>
    <x v="0"/>
    <x v="1"/>
    <x v="2"/>
    <x v="0"/>
    <x v="31"/>
    <x v="0"/>
    <x v="62"/>
    <x v="0"/>
  </r>
  <r>
    <x v="95"/>
    <x v="48"/>
    <x v="50"/>
    <x v="14"/>
    <x v="47"/>
    <x v="0"/>
    <x v="6"/>
    <x v="1"/>
    <x v="8"/>
    <x v="0"/>
    <x v="6"/>
    <x v="0"/>
    <x v="63"/>
    <x v="0"/>
  </r>
  <r>
    <x v="96"/>
    <x v="49"/>
    <x v="51"/>
    <x v="23"/>
    <x v="48"/>
    <x v="43"/>
    <x v="6"/>
    <x v="0"/>
    <x v="7"/>
    <x v="0"/>
    <x v="6"/>
    <x v="0"/>
    <x v="64"/>
    <x v="0"/>
  </r>
  <r>
    <x v="97"/>
    <x v="50"/>
    <x v="52"/>
    <x v="3"/>
    <x v="24"/>
    <x v="44"/>
    <x v="7"/>
    <x v="1"/>
    <x v="7"/>
    <x v="1"/>
    <x v="32"/>
    <x v="0"/>
    <x v="65"/>
    <x v="0"/>
  </r>
  <r>
    <x v="98"/>
    <x v="3"/>
    <x v="3"/>
    <x v="2"/>
    <x v="3"/>
    <x v="3"/>
    <x v="3"/>
    <x v="1"/>
    <x v="1"/>
    <x v="2"/>
    <x v="2"/>
    <x v="0"/>
    <x v="3"/>
    <x v="0"/>
  </r>
  <r>
    <x v="99"/>
    <x v="3"/>
    <x v="3"/>
    <x v="2"/>
    <x v="3"/>
    <x v="3"/>
    <x v="3"/>
    <x v="1"/>
    <x v="1"/>
    <x v="2"/>
    <x v="2"/>
    <x v="0"/>
    <x v="3"/>
    <x v="0"/>
  </r>
  <r>
    <x v="100"/>
    <x v="51"/>
    <x v="53"/>
    <x v="0"/>
    <x v="13"/>
    <x v="45"/>
    <x v="21"/>
    <x v="0"/>
    <x v="7"/>
    <x v="0"/>
    <x v="3"/>
    <x v="0"/>
    <x v="66"/>
    <x v="0"/>
  </r>
  <r>
    <x v="101"/>
    <x v="52"/>
    <x v="54"/>
    <x v="30"/>
    <x v="49"/>
    <x v="0"/>
    <x v="6"/>
    <x v="1"/>
    <x v="8"/>
    <x v="2"/>
    <x v="18"/>
    <x v="0"/>
    <x v="67"/>
    <x v="0"/>
  </r>
  <r>
    <x v="102"/>
    <x v="8"/>
    <x v="8"/>
    <x v="3"/>
    <x v="17"/>
    <x v="17"/>
    <x v="3"/>
    <x v="1"/>
    <x v="3"/>
    <x v="2"/>
    <x v="2"/>
    <x v="0"/>
    <x v="18"/>
    <x v="0"/>
  </r>
  <r>
    <x v="103"/>
    <x v="2"/>
    <x v="2"/>
    <x v="2"/>
    <x v="18"/>
    <x v="18"/>
    <x v="2"/>
    <x v="1"/>
    <x v="1"/>
    <x v="2"/>
    <x v="2"/>
    <x v="0"/>
    <x v="19"/>
    <x v="0"/>
  </r>
  <r>
    <x v="104"/>
    <x v="53"/>
    <x v="55"/>
    <x v="31"/>
    <x v="50"/>
    <x v="46"/>
    <x v="9"/>
    <x v="1"/>
    <x v="7"/>
    <x v="0"/>
    <x v="33"/>
    <x v="0"/>
    <x v="68"/>
    <x v="0"/>
  </r>
  <r>
    <x v="105"/>
    <x v="54"/>
    <x v="56"/>
    <x v="32"/>
    <x v="51"/>
    <x v="45"/>
    <x v="7"/>
    <x v="1"/>
    <x v="3"/>
    <x v="1"/>
    <x v="34"/>
    <x v="0"/>
    <x v="69"/>
    <x v="0"/>
  </r>
  <r>
    <x v="106"/>
    <x v="55"/>
    <x v="57"/>
    <x v="3"/>
    <x v="52"/>
    <x v="45"/>
    <x v="6"/>
    <x v="1"/>
    <x v="8"/>
    <x v="0"/>
    <x v="35"/>
    <x v="0"/>
    <x v="70"/>
    <x v="0"/>
  </r>
  <r>
    <x v="107"/>
    <x v="56"/>
    <x v="58"/>
    <x v="3"/>
    <x v="15"/>
    <x v="14"/>
    <x v="21"/>
    <x v="1"/>
    <x v="7"/>
    <x v="1"/>
    <x v="19"/>
    <x v="0"/>
    <x v="15"/>
    <x v="0"/>
  </r>
  <r>
    <x v="108"/>
    <x v="8"/>
    <x v="8"/>
    <x v="2"/>
    <x v="8"/>
    <x v="22"/>
    <x v="0"/>
    <x v="1"/>
    <x v="3"/>
    <x v="2"/>
    <x v="2"/>
    <x v="0"/>
    <x v="24"/>
    <x v="0"/>
  </r>
  <r>
    <x v="109"/>
    <x v="8"/>
    <x v="8"/>
    <x v="3"/>
    <x v="22"/>
    <x v="2"/>
    <x v="10"/>
    <x v="1"/>
    <x v="3"/>
    <x v="2"/>
    <x v="2"/>
    <x v="0"/>
    <x v="25"/>
    <x v="0"/>
  </r>
  <r>
    <x v="110"/>
    <x v="57"/>
    <x v="59"/>
    <x v="3"/>
    <x v="53"/>
    <x v="47"/>
    <x v="0"/>
    <x v="0"/>
    <x v="4"/>
    <x v="2"/>
    <x v="3"/>
    <x v="0"/>
    <x v="71"/>
    <x v="0"/>
  </r>
  <r>
    <x v="111"/>
    <x v="58"/>
    <x v="60"/>
    <x v="3"/>
    <x v="54"/>
    <x v="31"/>
    <x v="7"/>
    <x v="0"/>
    <x v="7"/>
    <x v="0"/>
    <x v="36"/>
    <x v="0"/>
    <x v="72"/>
    <x v="0"/>
  </r>
  <r>
    <x v="112"/>
    <x v="8"/>
    <x v="8"/>
    <x v="3"/>
    <x v="8"/>
    <x v="8"/>
    <x v="0"/>
    <x v="1"/>
    <x v="3"/>
    <x v="2"/>
    <x v="2"/>
    <x v="0"/>
    <x v="8"/>
    <x v="0"/>
  </r>
  <r>
    <x v="113"/>
    <x v="2"/>
    <x v="2"/>
    <x v="13"/>
    <x v="8"/>
    <x v="24"/>
    <x v="2"/>
    <x v="1"/>
    <x v="1"/>
    <x v="2"/>
    <x v="2"/>
    <x v="0"/>
    <x v="27"/>
    <x v="0"/>
  </r>
  <r>
    <x v="114"/>
    <x v="59"/>
    <x v="61"/>
    <x v="2"/>
    <x v="55"/>
    <x v="30"/>
    <x v="22"/>
    <x v="1"/>
    <x v="10"/>
    <x v="0"/>
    <x v="37"/>
    <x v="0"/>
    <x v="73"/>
    <x v="0"/>
  </r>
  <r>
    <x v="115"/>
    <x v="60"/>
    <x v="62"/>
    <x v="30"/>
    <x v="14"/>
    <x v="48"/>
    <x v="0"/>
    <x v="0"/>
    <x v="9"/>
    <x v="0"/>
    <x v="38"/>
    <x v="0"/>
    <x v="74"/>
    <x v="0"/>
  </r>
  <r>
    <x v="116"/>
    <x v="61"/>
    <x v="63"/>
    <x v="33"/>
    <x v="56"/>
    <x v="49"/>
    <x v="9"/>
    <x v="1"/>
    <x v="7"/>
    <x v="0"/>
    <x v="32"/>
    <x v="0"/>
    <x v="27"/>
    <x v="0"/>
  </r>
  <r>
    <x v="117"/>
    <x v="62"/>
    <x v="64"/>
    <x v="0"/>
    <x v="5"/>
    <x v="50"/>
    <x v="0"/>
    <x v="0"/>
    <x v="3"/>
    <x v="1"/>
    <x v="39"/>
    <x v="0"/>
    <x v="75"/>
    <x v="0"/>
  </r>
  <r>
    <x v="118"/>
    <x v="8"/>
    <x v="8"/>
    <x v="12"/>
    <x v="27"/>
    <x v="27"/>
    <x v="12"/>
    <x v="1"/>
    <x v="3"/>
    <x v="2"/>
    <x v="2"/>
    <x v="0"/>
    <x v="31"/>
    <x v="0"/>
  </r>
  <r>
    <x v="119"/>
    <x v="8"/>
    <x v="23"/>
    <x v="15"/>
    <x v="28"/>
    <x v="28"/>
    <x v="0"/>
    <x v="1"/>
    <x v="3"/>
    <x v="2"/>
    <x v="2"/>
    <x v="0"/>
    <x v="32"/>
    <x v="0"/>
  </r>
  <r>
    <x v="120"/>
    <x v="63"/>
    <x v="65"/>
    <x v="1"/>
    <x v="57"/>
    <x v="51"/>
    <x v="0"/>
    <x v="3"/>
    <x v="8"/>
    <x v="1"/>
    <x v="40"/>
    <x v="0"/>
    <x v="76"/>
    <x v="0"/>
  </r>
  <r>
    <x v="121"/>
    <x v="64"/>
    <x v="66"/>
    <x v="3"/>
    <x v="43"/>
    <x v="14"/>
    <x v="9"/>
    <x v="0"/>
    <x v="7"/>
    <x v="0"/>
    <x v="41"/>
    <x v="0"/>
    <x v="77"/>
    <x v="0"/>
  </r>
  <r>
    <x v="122"/>
    <x v="2"/>
    <x v="2"/>
    <x v="2"/>
    <x v="2"/>
    <x v="2"/>
    <x v="2"/>
    <x v="1"/>
    <x v="1"/>
    <x v="2"/>
    <x v="2"/>
    <x v="0"/>
    <x v="2"/>
    <x v="0"/>
  </r>
  <r>
    <x v="123"/>
    <x v="3"/>
    <x v="3"/>
    <x v="2"/>
    <x v="3"/>
    <x v="3"/>
    <x v="3"/>
    <x v="1"/>
    <x v="1"/>
    <x v="2"/>
    <x v="2"/>
    <x v="0"/>
    <x v="3"/>
    <x v="0"/>
  </r>
  <r>
    <x v="124"/>
    <x v="65"/>
    <x v="67"/>
    <x v="11"/>
    <x v="9"/>
    <x v="20"/>
    <x v="12"/>
    <x v="1"/>
    <x v="2"/>
    <x v="0"/>
    <x v="3"/>
    <x v="0"/>
    <x v="60"/>
    <x v="0"/>
  </r>
  <r>
    <x v="125"/>
    <x v="30"/>
    <x v="31"/>
    <x v="1"/>
    <x v="58"/>
    <x v="52"/>
    <x v="6"/>
    <x v="1"/>
    <x v="7"/>
    <x v="0"/>
    <x v="6"/>
    <x v="0"/>
    <x v="78"/>
    <x v="0"/>
  </r>
  <r>
    <x v="126"/>
    <x v="66"/>
    <x v="68"/>
    <x v="0"/>
    <x v="59"/>
    <x v="52"/>
    <x v="23"/>
    <x v="1"/>
    <x v="7"/>
    <x v="0"/>
    <x v="42"/>
    <x v="0"/>
    <x v="79"/>
    <x v="0"/>
  </r>
  <r>
    <x v="127"/>
    <x v="67"/>
    <x v="69"/>
    <x v="18"/>
    <x v="51"/>
    <x v="53"/>
    <x v="0"/>
    <x v="1"/>
    <x v="7"/>
    <x v="1"/>
    <x v="3"/>
    <x v="0"/>
    <x v="80"/>
    <x v="0"/>
  </r>
  <r>
    <x v="128"/>
    <x v="2"/>
    <x v="2"/>
    <x v="2"/>
    <x v="2"/>
    <x v="2"/>
    <x v="2"/>
    <x v="1"/>
    <x v="1"/>
    <x v="2"/>
    <x v="2"/>
    <x v="0"/>
    <x v="2"/>
    <x v="0"/>
  </r>
  <r>
    <x v="129"/>
    <x v="8"/>
    <x v="8"/>
    <x v="3"/>
    <x v="8"/>
    <x v="8"/>
    <x v="0"/>
    <x v="1"/>
    <x v="3"/>
    <x v="2"/>
    <x v="2"/>
    <x v="0"/>
    <x v="8"/>
    <x v="0"/>
  </r>
  <r>
    <x v="130"/>
    <x v="68"/>
    <x v="70"/>
    <x v="34"/>
    <x v="60"/>
    <x v="54"/>
    <x v="0"/>
    <x v="0"/>
    <x v="6"/>
    <x v="1"/>
    <x v="3"/>
    <x v="0"/>
    <x v="81"/>
    <x v="0"/>
  </r>
  <r>
    <x v="131"/>
    <x v="69"/>
    <x v="71"/>
    <x v="3"/>
    <x v="60"/>
    <x v="42"/>
    <x v="16"/>
    <x v="1"/>
    <x v="8"/>
    <x v="0"/>
    <x v="18"/>
    <x v="0"/>
    <x v="50"/>
    <x v="0"/>
  </r>
  <r>
    <x v="132"/>
    <x v="8"/>
    <x v="8"/>
    <x v="5"/>
    <x v="11"/>
    <x v="10"/>
    <x v="6"/>
    <x v="1"/>
    <x v="3"/>
    <x v="2"/>
    <x v="2"/>
    <x v="0"/>
    <x v="11"/>
    <x v="0"/>
  </r>
  <r>
    <x v="133"/>
    <x v="11"/>
    <x v="11"/>
    <x v="6"/>
    <x v="12"/>
    <x v="11"/>
    <x v="3"/>
    <x v="1"/>
    <x v="5"/>
    <x v="2"/>
    <x v="2"/>
    <x v="0"/>
    <x v="12"/>
    <x v="0"/>
  </r>
  <r>
    <x v="134"/>
    <x v="70"/>
    <x v="72"/>
    <x v="1"/>
    <x v="13"/>
    <x v="33"/>
    <x v="9"/>
    <x v="1"/>
    <x v="1"/>
    <x v="1"/>
    <x v="43"/>
    <x v="0"/>
    <x v="42"/>
    <x v="0"/>
  </r>
  <r>
    <x v="135"/>
    <x v="71"/>
    <x v="73"/>
    <x v="3"/>
    <x v="43"/>
    <x v="14"/>
    <x v="23"/>
    <x v="1"/>
    <x v="8"/>
    <x v="3"/>
    <x v="6"/>
    <x v="0"/>
    <x v="77"/>
    <x v="0"/>
  </r>
  <r>
    <x v="136"/>
    <x v="72"/>
    <x v="74"/>
    <x v="35"/>
    <x v="43"/>
    <x v="45"/>
    <x v="0"/>
    <x v="1"/>
    <x v="7"/>
    <x v="3"/>
    <x v="4"/>
    <x v="0"/>
    <x v="82"/>
    <x v="0"/>
  </r>
  <r>
    <x v="137"/>
    <x v="73"/>
    <x v="75"/>
    <x v="11"/>
    <x v="24"/>
    <x v="20"/>
    <x v="0"/>
    <x v="1"/>
    <x v="7"/>
    <x v="1"/>
    <x v="3"/>
    <x v="0"/>
    <x v="83"/>
    <x v="0"/>
  </r>
  <r>
    <x v="138"/>
    <x v="3"/>
    <x v="3"/>
    <x v="2"/>
    <x v="3"/>
    <x v="3"/>
    <x v="3"/>
    <x v="1"/>
    <x v="1"/>
    <x v="2"/>
    <x v="2"/>
    <x v="0"/>
    <x v="3"/>
    <x v="0"/>
  </r>
  <r>
    <x v="139"/>
    <x v="3"/>
    <x v="3"/>
    <x v="2"/>
    <x v="3"/>
    <x v="3"/>
    <x v="3"/>
    <x v="1"/>
    <x v="1"/>
    <x v="2"/>
    <x v="2"/>
    <x v="0"/>
    <x v="3"/>
    <x v="0"/>
  </r>
  <r>
    <x v="140"/>
    <x v="74"/>
    <x v="76"/>
    <x v="3"/>
    <x v="15"/>
    <x v="14"/>
    <x v="21"/>
    <x v="0"/>
    <x v="7"/>
    <x v="0"/>
    <x v="19"/>
    <x v="0"/>
    <x v="15"/>
    <x v="0"/>
  </r>
  <r>
    <x v="141"/>
    <x v="75"/>
    <x v="77"/>
    <x v="3"/>
    <x v="4"/>
    <x v="4"/>
    <x v="9"/>
    <x v="0"/>
    <x v="7"/>
    <x v="0"/>
    <x v="3"/>
    <x v="0"/>
    <x v="4"/>
    <x v="0"/>
  </r>
  <r>
    <x v="142"/>
    <x v="8"/>
    <x v="8"/>
    <x v="3"/>
    <x v="17"/>
    <x v="17"/>
    <x v="3"/>
    <x v="1"/>
    <x v="3"/>
    <x v="2"/>
    <x v="2"/>
    <x v="0"/>
    <x v="18"/>
    <x v="0"/>
  </r>
  <r>
    <x v="143"/>
    <x v="2"/>
    <x v="2"/>
    <x v="2"/>
    <x v="18"/>
    <x v="18"/>
    <x v="2"/>
    <x v="1"/>
    <x v="1"/>
    <x v="2"/>
    <x v="2"/>
    <x v="0"/>
    <x v="19"/>
    <x v="0"/>
  </r>
  <r>
    <x v="144"/>
    <x v="76"/>
    <x v="78"/>
    <x v="36"/>
    <x v="61"/>
    <x v="41"/>
    <x v="24"/>
    <x v="1"/>
    <x v="2"/>
    <x v="0"/>
    <x v="44"/>
    <x v="0"/>
    <x v="26"/>
    <x v="0"/>
  </r>
  <r>
    <x v="145"/>
    <x v="77"/>
    <x v="79"/>
    <x v="30"/>
    <x v="62"/>
    <x v="21"/>
    <x v="23"/>
    <x v="1"/>
    <x v="7"/>
    <x v="1"/>
    <x v="9"/>
    <x v="0"/>
    <x v="84"/>
    <x v="0"/>
  </r>
  <r>
    <x v="146"/>
    <x v="78"/>
    <x v="80"/>
    <x v="37"/>
    <x v="63"/>
    <x v="39"/>
    <x v="6"/>
    <x v="0"/>
    <x v="7"/>
    <x v="0"/>
    <x v="9"/>
    <x v="0"/>
    <x v="85"/>
    <x v="0"/>
  </r>
  <r>
    <x v="147"/>
    <x v="79"/>
    <x v="81"/>
    <x v="38"/>
    <x v="64"/>
    <x v="49"/>
    <x v="23"/>
    <x v="2"/>
    <x v="7"/>
    <x v="1"/>
    <x v="45"/>
    <x v="0"/>
    <x v="86"/>
    <x v="0"/>
  </r>
  <r>
    <x v="148"/>
    <x v="8"/>
    <x v="8"/>
    <x v="2"/>
    <x v="8"/>
    <x v="22"/>
    <x v="0"/>
    <x v="1"/>
    <x v="3"/>
    <x v="2"/>
    <x v="2"/>
    <x v="0"/>
    <x v="24"/>
    <x v="0"/>
  </r>
  <r>
    <x v="149"/>
    <x v="8"/>
    <x v="8"/>
    <x v="3"/>
    <x v="22"/>
    <x v="2"/>
    <x v="10"/>
    <x v="1"/>
    <x v="3"/>
    <x v="2"/>
    <x v="2"/>
    <x v="0"/>
    <x v="25"/>
    <x v="0"/>
  </r>
  <r>
    <x v="150"/>
    <x v="80"/>
    <x v="82"/>
    <x v="39"/>
    <x v="15"/>
    <x v="55"/>
    <x v="0"/>
    <x v="1"/>
    <x v="8"/>
    <x v="1"/>
    <x v="46"/>
    <x v="0"/>
    <x v="87"/>
    <x v="0"/>
  </r>
  <r>
    <x v="151"/>
    <x v="81"/>
    <x v="83"/>
    <x v="40"/>
    <x v="56"/>
    <x v="48"/>
    <x v="24"/>
    <x v="1"/>
    <x v="7"/>
    <x v="0"/>
    <x v="9"/>
    <x v="0"/>
    <x v="88"/>
    <x v="1"/>
  </r>
  <r>
    <x v="152"/>
    <x v="8"/>
    <x v="8"/>
    <x v="3"/>
    <x v="8"/>
    <x v="8"/>
    <x v="0"/>
    <x v="1"/>
    <x v="3"/>
    <x v="2"/>
    <x v="2"/>
    <x v="0"/>
    <x v="8"/>
    <x v="1"/>
  </r>
  <r>
    <x v="153"/>
    <x v="2"/>
    <x v="2"/>
    <x v="13"/>
    <x v="8"/>
    <x v="24"/>
    <x v="2"/>
    <x v="1"/>
    <x v="1"/>
    <x v="2"/>
    <x v="2"/>
    <x v="0"/>
    <x v="27"/>
    <x v="1"/>
  </r>
  <r>
    <x v="154"/>
    <x v="82"/>
    <x v="84"/>
    <x v="1"/>
    <x v="20"/>
    <x v="13"/>
    <x v="4"/>
    <x v="1"/>
    <x v="2"/>
    <x v="1"/>
    <x v="7"/>
    <x v="0"/>
    <x v="89"/>
    <x v="1"/>
  </r>
  <r>
    <x v="155"/>
    <x v="83"/>
    <x v="85"/>
    <x v="41"/>
    <x v="33"/>
    <x v="56"/>
    <x v="25"/>
    <x v="1"/>
    <x v="5"/>
    <x v="1"/>
    <x v="47"/>
    <x v="0"/>
    <x v="90"/>
    <x v="1"/>
  </r>
  <r>
    <x v="156"/>
    <x v="84"/>
    <x v="86"/>
    <x v="0"/>
    <x v="4"/>
    <x v="57"/>
    <x v="21"/>
    <x v="1"/>
    <x v="3"/>
    <x v="1"/>
    <x v="48"/>
    <x v="0"/>
    <x v="35"/>
    <x v="1"/>
  </r>
  <r>
    <x v="157"/>
    <x v="85"/>
    <x v="87"/>
    <x v="11"/>
    <x v="20"/>
    <x v="20"/>
    <x v="9"/>
    <x v="1"/>
    <x v="7"/>
    <x v="1"/>
    <x v="6"/>
    <x v="0"/>
    <x v="21"/>
    <x v="1"/>
  </r>
  <r>
    <x v="158"/>
    <x v="8"/>
    <x v="8"/>
    <x v="12"/>
    <x v="27"/>
    <x v="27"/>
    <x v="12"/>
    <x v="1"/>
    <x v="3"/>
    <x v="2"/>
    <x v="2"/>
    <x v="0"/>
    <x v="31"/>
    <x v="1"/>
  </r>
  <r>
    <x v="159"/>
    <x v="8"/>
    <x v="23"/>
    <x v="15"/>
    <x v="28"/>
    <x v="28"/>
    <x v="0"/>
    <x v="1"/>
    <x v="3"/>
    <x v="2"/>
    <x v="2"/>
    <x v="0"/>
    <x v="32"/>
    <x v="1"/>
  </r>
  <r>
    <x v="160"/>
    <x v="86"/>
    <x v="88"/>
    <x v="42"/>
    <x v="31"/>
    <x v="56"/>
    <x v="0"/>
    <x v="1"/>
    <x v="7"/>
    <x v="3"/>
    <x v="39"/>
    <x v="0"/>
    <x v="91"/>
    <x v="1"/>
  </r>
  <r>
    <x v="161"/>
    <x v="87"/>
    <x v="89"/>
    <x v="43"/>
    <x v="48"/>
    <x v="39"/>
    <x v="9"/>
    <x v="1"/>
    <x v="2"/>
    <x v="0"/>
    <x v="3"/>
    <x v="0"/>
    <x v="92"/>
    <x v="1"/>
  </r>
  <r>
    <x v="162"/>
    <x v="2"/>
    <x v="2"/>
    <x v="2"/>
    <x v="2"/>
    <x v="2"/>
    <x v="2"/>
    <x v="1"/>
    <x v="1"/>
    <x v="2"/>
    <x v="2"/>
    <x v="0"/>
    <x v="2"/>
    <x v="1"/>
  </r>
  <r>
    <x v="163"/>
    <x v="3"/>
    <x v="3"/>
    <x v="2"/>
    <x v="3"/>
    <x v="3"/>
    <x v="3"/>
    <x v="1"/>
    <x v="1"/>
    <x v="2"/>
    <x v="2"/>
    <x v="0"/>
    <x v="3"/>
    <x v="1"/>
  </r>
  <r>
    <x v="164"/>
    <x v="88"/>
    <x v="90"/>
    <x v="3"/>
    <x v="13"/>
    <x v="29"/>
    <x v="22"/>
    <x v="1"/>
    <x v="7"/>
    <x v="0"/>
    <x v="3"/>
    <x v="0"/>
    <x v="33"/>
    <x v="1"/>
  </r>
  <r>
    <x v="165"/>
    <x v="89"/>
    <x v="91"/>
    <x v="3"/>
    <x v="30"/>
    <x v="58"/>
    <x v="9"/>
    <x v="1"/>
    <x v="7"/>
    <x v="0"/>
    <x v="49"/>
    <x v="0"/>
    <x v="93"/>
    <x v="1"/>
  </r>
  <r>
    <x v="166"/>
    <x v="90"/>
    <x v="92"/>
    <x v="11"/>
    <x v="43"/>
    <x v="15"/>
    <x v="25"/>
    <x v="1"/>
    <x v="2"/>
    <x v="0"/>
    <x v="6"/>
    <x v="0"/>
    <x v="94"/>
    <x v="1"/>
  </r>
  <r>
    <x v="167"/>
    <x v="91"/>
    <x v="93"/>
    <x v="41"/>
    <x v="37"/>
    <x v="5"/>
    <x v="6"/>
    <x v="0"/>
    <x v="7"/>
    <x v="1"/>
    <x v="6"/>
    <x v="0"/>
    <x v="95"/>
    <x v="1"/>
  </r>
  <r>
    <x v="168"/>
    <x v="2"/>
    <x v="2"/>
    <x v="2"/>
    <x v="2"/>
    <x v="2"/>
    <x v="2"/>
    <x v="1"/>
    <x v="1"/>
    <x v="2"/>
    <x v="2"/>
    <x v="0"/>
    <x v="2"/>
    <x v="1"/>
  </r>
  <r>
    <x v="169"/>
    <x v="8"/>
    <x v="8"/>
    <x v="3"/>
    <x v="8"/>
    <x v="8"/>
    <x v="0"/>
    <x v="1"/>
    <x v="3"/>
    <x v="2"/>
    <x v="2"/>
    <x v="0"/>
    <x v="8"/>
    <x v="1"/>
  </r>
  <r>
    <x v="170"/>
    <x v="92"/>
    <x v="94"/>
    <x v="3"/>
    <x v="34"/>
    <x v="31"/>
    <x v="9"/>
    <x v="0"/>
    <x v="7"/>
    <x v="3"/>
    <x v="6"/>
    <x v="0"/>
    <x v="17"/>
    <x v="1"/>
  </r>
  <r>
    <x v="171"/>
    <x v="93"/>
    <x v="95"/>
    <x v="44"/>
    <x v="65"/>
    <x v="24"/>
    <x v="6"/>
    <x v="1"/>
    <x v="2"/>
    <x v="0"/>
    <x v="6"/>
    <x v="0"/>
    <x v="53"/>
    <x v="1"/>
  </r>
  <r>
    <x v="172"/>
    <x v="8"/>
    <x v="8"/>
    <x v="5"/>
    <x v="11"/>
    <x v="10"/>
    <x v="6"/>
    <x v="1"/>
    <x v="3"/>
    <x v="2"/>
    <x v="2"/>
    <x v="0"/>
    <x v="11"/>
    <x v="1"/>
  </r>
  <r>
    <x v="173"/>
    <x v="11"/>
    <x v="11"/>
    <x v="6"/>
    <x v="12"/>
    <x v="11"/>
    <x v="3"/>
    <x v="1"/>
    <x v="5"/>
    <x v="2"/>
    <x v="2"/>
    <x v="0"/>
    <x v="12"/>
    <x v="1"/>
  </r>
  <r>
    <x v="174"/>
    <x v="94"/>
    <x v="96"/>
    <x v="45"/>
    <x v="4"/>
    <x v="39"/>
    <x v="26"/>
    <x v="0"/>
    <x v="7"/>
    <x v="0"/>
    <x v="3"/>
    <x v="0"/>
    <x v="96"/>
    <x v="1"/>
  </r>
  <r>
    <x v="175"/>
    <x v="95"/>
    <x v="97"/>
    <x v="3"/>
    <x v="57"/>
    <x v="44"/>
    <x v="27"/>
    <x v="0"/>
    <x v="2"/>
    <x v="1"/>
    <x v="27"/>
    <x v="0"/>
    <x v="97"/>
    <x v="1"/>
  </r>
  <r>
    <x v="176"/>
    <x v="96"/>
    <x v="98"/>
    <x v="46"/>
    <x v="66"/>
    <x v="59"/>
    <x v="17"/>
    <x v="1"/>
    <x v="8"/>
    <x v="1"/>
    <x v="42"/>
    <x v="0"/>
    <x v="98"/>
    <x v="1"/>
  </r>
  <r>
    <x v="177"/>
    <x v="97"/>
    <x v="99"/>
    <x v="11"/>
    <x v="43"/>
    <x v="15"/>
    <x v="24"/>
    <x v="1"/>
    <x v="2"/>
    <x v="2"/>
    <x v="43"/>
    <x v="0"/>
    <x v="94"/>
    <x v="1"/>
  </r>
  <r>
    <x v="178"/>
    <x v="3"/>
    <x v="3"/>
    <x v="2"/>
    <x v="3"/>
    <x v="3"/>
    <x v="3"/>
    <x v="1"/>
    <x v="1"/>
    <x v="2"/>
    <x v="2"/>
    <x v="0"/>
    <x v="3"/>
    <x v="1"/>
  </r>
  <r>
    <x v="179"/>
    <x v="3"/>
    <x v="3"/>
    <x v="2"/>
    <x v="3"/>
    <x v="3"/>
    <x v="3"/>
    <x v="1"/>
    <x v="1"/>
    <x v="2"/>
    <x v="2"/>
    <x v="0"/>
    <x v="3"/>
    <x v="1"/>
  </r>
  <r>
    <x v="180"/>
    <x v="98"/>
    <x v="100"/>
    <x v="3"/>
    <x v="23"/>
    <x v="23"/>
    <x v="0"/>
    <x v="1"/>
    <x v="9"/>
    <x v="0"/>
    <x v="3"/>
    <x v="0"/>
    <x v="95"/>
    <x v="1"/>
  </r>
  <r>
    <x v="181"/>
    <x v="99"/>
    <x v="101"/>
    <x v="3"/>
    <x v="67"/>
    <x v="47"/>
    <x v="21"/>
    <x v="0"/>
    <x v="6"/>
    <x v="1"/>
    <x v="27"/>
    <x v="0"/>
    <x v="99"/>
    <x v="1"/>
  </r>
  <r>
    <x v="182"/>
    <x v="8"/>
    <x v="8"/>
    <x v="3"/>
    <x v="17"/>
    <x v="17"/>
    <x v="3"/>
    <x v="1"/>
    <x v="3"/>
    <x v="2"/>
    <x v="2"/>
    <x v="0"/>
    <x v="18"/>
    <x v="1"/>
  </r>
  <r>
    <x v="183"/>
    <x v="2"/>
    <x v="2"/>
    <x v="2"/>
    <x v="18"/>
    <x v="18"/>
    <x v="2"/>
    <x v="1"/>
    <x v="1"/>
    <x v="2"/>
    <x v="2"/>
    <x v="0"/>
    <x v="19"/>
    <x v="1"/>
  </r>
  <r>
    <x v="184"/>
    <x v="100"/>
    <x v="102"/>
    <x v="3"/>
    <x v="68"/>
    <x v="60"/>
    <x v="24"/>
    <x v="1"/>
    <x v="5"/>
    <x v="2"/>
    <x v="2"/>
    <x v="0"/>
    <x v="100"/>
    <x v="1"/>
  </r>
  <r>
    <x v="185"/>
    <x v="101"/>
    <x v="103"/>
    <x v="47"/>
    <x v="43"/>
    <x v="38"/>
    <x v="3"/>
    <x v="1"/>
    <x v="1"/>
    <x v="0"/>
    <x v="3"/>
    <x v="0"/>
    <x v="101"/>
    <x v="1"/>
  </r>
  <r>
    <x v="186"/>
    <x v="102"/>
    <x v="104"/>
    <x v="48"/>
    <x v="43"/>
    <x v="48"/>
    <x v="22"/>
    <x v="1"/>
    <x v="9"/>
    <x v="1"/>
    <x v="50"/>
    <x v="0"/>
    <x v="102"/>
    <x v="1"/>
  </r>
  <r>
    <x v="187"/>
    <x v="103"/>
    <x v="105"/>
    <x v="49"/>
    <x v="69"/>
    <x v="25"/>
    <x v="21"/>
    <x v="0"/>
    <x v="7"/>
    <x v="0"/>
    <x v="51"/>
    <x v="0"/>
    <x v="103"/>
    <x v="1"/>
  </r>
  <r>
    <x v="188"/>
    <x v="8"/>
    <x v="8"/>
    <x v="2"/>
    <x v="8"/>
    <x v="22"/>
    <x v="0"/>
    <x v="1"/>
    <x v="3"/>
    <x v="2"/>
    <x v="2"/>
    <x v="0"/>
    <x v="24"/>
    <x v="1"/>
  </r>
  <r>
    <x v="189"/>
    <x v="8"/>
    <x v="8"/>
    <x v="3"/>
    <x v="22"/>
    <x v="2"/>
    <x v="10"/>
    <x v="1"/>
    <x v="3"/>
    <x v="2"/>
    <x v="2"/>
    <x v="0"/>
    <x v="25"/>
    <x v="1"/>
  </r>
  <r>
    <x v="190"/>
    <x v="104"/>
    <x v="106"/>
    <x v="0"/>
    <x v="5"/>
    <x v="50"/>
    <x v="0"/>
    <x v="0"/>
    <x v="7"/>
    <x v="3"/>
    <x v="39"/>
    <x v="0"/>
    <x v="75"/>
    <x v="1"/>
  </r>
  <r>
    <x v="191"/>
    <x v="105"/>
    <x v="107"/>
    <x v="30"/>
    <x v="70"/>
    <x v="44"/>
    <x v="0"/>
    <x v="0"/>
    <x v="7"/>
    <x v="1"/>
    <x v="19"/>
    <x v="0"/>
    <x v="104"/>
    <x v="1"/>
  </r>
  <r>
    <x v="192"/>
    <x v="8"/>
    <x v="8"/>
    <x v="3"/>
    <x v="8"/>
    <x v="8"/>
    <x v="0"/>
    <x v="1"/>
    <x v="3"/>
    <x v="2"/>
    <x v="2"/>
    <x v="0"/>
    <x v="8"/>
    <x v="1"/>
  </r>
  <r>
    <x v="193"/>
    <x v="2"/>
    <x v="2"/>
    <x v="13"/>
    <x v="8"/>
    <x v="24"/>
    <x v="2"/>
    <x v="1"/>
    <x v="1"/>
    <x v="2"/>
    <x v="2"/>
    <x v="0"/>
    <x v="27"/>
    <x v="1"/>
  </r>
  <r>
    <x v="194"/>
    <x v="106"/>
    <x v="108"/>
    <x v="1"/>
    <x v="36"/>
    <x v="33"/>
    <x v="21"/>
    <x v="1"/>
    <x v="7"/>
    <x v="3"/>
    <x v="6"/>
    <x v="0"/>
    <x v="105"/>
    <x v="1"/>
  </r>
  <r>
    <x v="195"/>
    <x v="107"/>
    <x v="109"/>
    <x v="1"/>
    <x v="71"/>
    <x v="26"/>
    <x v="22"/>
    <x v="0"/>
    <x v="7"/>
    <x v="1"/>
    <x v="3"/>
    <x v="0"/>
    <x v="106"/>
    <x v="1"/>
  </r>
  <r>
    <x v="196"/>
    <x v="108"/>
    <x v="110"/>
    <x v="4"/>
    <x v="72"/>
    <x v="27"/>
    <x v="6"/>
    <x v="1"/>
    <x v="3"/>
    <x v="1"/>
    <x v="52"/>
    <x v="0"/>
    <x v="107"/>
    <x v="1"/>
  </r>
  <r>
    <x v="197"/>
    <x v="109"/>
    <x v="111"/>
    <x v="0"/>
    <x v="44"/>
    <x v="40"/>
    <x v="0"/>
    <x v="0"/>
    <x v="8"/>
    <x v="3"/>
    <x v="53"/>
    <x v="0"/>
    <x v="59"/>
    <x v="1"/>
  </r>
  <r>
    <x v="198"/>
    <x v="8"/>
    <x v="8"/>
    <x v="12"/>
    <x v="27"/>
    <x v="27"/>
    <x v="12"/>
    <x v="1"/>
    <x v="3"/>
    <x v="2"/>
    <x v="2"/>
    <x v="0"/>
    <x v="31"/>
    <x v="1"/>
  </r>
  <r>
    <x v="199"/>
    <x v="8"/>
    <x v="23"/>
    <x v="15"/>
    <x v="28"/>
    <x v="28"/>
    <x v="0"/>
    <x v="1"/>
    <x v="3"/>
    <x v="2"/>
    <x v="2"/>
    <x v="0"/>
    <x v="32"/>
    <x v="1"/>
  </r>
  <r>
    <x v="200"/>
    <x v="110"/>
    <x v="112"/>
    <x v="14"/>
    <x v="34"/>
    <x v="42"/>
    <x v="9"/>
    <x v="1"/>
    <x v="7"/>
    <x v="0"/>
    <x v="19"/>
    <x v="0"/>
    <x v="108"/>
    <x v="1"/>
  </r>
  <r>
    <x v="201"/>
    <x v="111"/>
    <x v="113"/>
    <x v="50"/>
    <x v="14"/>
    <x v="48"/>
    <x v="0"/>
    <x v="1"/>
    <x v="3"/>
    <x v="1"/>
    <x v="42"/>
    <x v="0"/>
    <x v="109"/>
    <x v="1"/>
  </r>
  <r>
    <x v="202"/>
    <x v="2"/>
    <x v="2"/>
    <x v="2"/>
    <x v="2"/>
    <x v="2"/>
    <x v="2"/>
    <x v="1"/>
    <x v="1"/>
    <x v="2"/>
    <x v="2"/>
    <x v="0"/>
    <x v="2"/>
    <x v="1"/>
  </r>
  <r>
    <x v="203"/>
    <x v="3"/>
    <x v="3"/>
    <x v="2"/>
    <x v="3"/>
    <x v="3"/>
    <x v="3"/>
    <x v="1"/>
    <x v="1"/>
    <x v="2"/>
    <x v="2"/>
    <x v="0"/>
    <x v="3"/>
    <x v="1"/>
  </r>
  <r>
    <x v="204"/>
    <x v="112"/>
    <x v="114"/>
    <x v="30"/>
    <x v="73"/>
    <x v="44"/>
    <x v="0"/>
    <x v="1"/>
    <x v="7"/>
    <x v="3"/>
    <x v="8"/>
    <x v="0"/>
    <x v="110"/>
    <x v="1"/>
  </r>
  <r>
    <x v="205"/>
    <x v="113"/>
    <x v="115"/>
    <x v="3"/>
    <x v="74"/>
    <x v="23"/>
    <x v="6"/>
    <x v="0"/>
    <x v="7"/>
    <x v="0"/>
    <x v="3"/>
    <x v="0"/>
    <x v="111"/>
    <x v="1"/>
  </r>
  <r>
    <x v="206"/>
    <x v="114"/>
    <x v="116"/>
    <x v="22"/>
    <x v="65"/>
    <x v="52"/>
    <x v="17"/>
    <x v="1"/>
    <x v="7"/>
    <x v="3"/>
    <x v="11"/>
    <x v="0"/>
    <x v="112"/>
    <x v="1"/>
  </r>
  <r>
    <x v="207"/>
    <x v="115"/>
    <x v="117"/>
    <x v="0"/>
    <x v="0"/>
    <x v="0"/>
    <x v="19"/>
    <x v="0"/>
    <x v="8"/>
    <x v="1"/>
    <x v="28"/>
    <x v="0"/>
    <x v="0"/>
    <x v="1"/>
  </r>
  <r>
    <x v="208"/>
    <x v="2"/>
    <x v="2"/>
    <x v="2"/>
    <x v="2"/>
    <x v="2"/>
    <x v="2"/>
    <x v="1"/>
    <x v="1"/>
    <x v="2"/>
    <x v="2"/>
    <x v="0"/>
    <x v="2"/>
    <x v="1"/>
  </r>
  <r>
    <x v="209"/>
    <x v="8"/>
    <x v="8"/>
    <x v="3"/>
    <x v="8"/>
    <x v="8"/>
    <x v="0"/>
    <x v="1"/>
    <x v="3"/>
    <x v="2"/>
    <x v="2"/>
    <x v="0"/>
    <x v="8"/>
    <x v="1"/>
  </r>
  <r>
    <x v="210"/>
    <x v="112"/>
    <x v="114"/>
    <x v="30"/>
    <x v="75"/>
    <x v="20"/>
    <x v="0"/>
    <x v="1"/>
    <x v="7"/>
    <x v="3"/>
    <x v="54"/>
    <x v="0"/>
    <x v="113"/>
    <x v="1"/>
  </r>
  <r>
    <x v="211"/>
    <x v="116"/>
    <x v="118"/>
    <x v="0"/>
    <x v="43"/>
    <x v="42"/>
    <x v="6"/>
    <x v="1"/>
    <x v="7"/>
    <x v="1"/>
    <x v="0"/>
    <x v="0"/>
    <x v="114"/>
    <x v="1"/>
  </r>
  <r>
    <x v="212"/>
    <x v="8"/>
    <x v="8"/>
    <x v="5"/>
    <x v="11"/>
    <x v="10"/>
    <x v="6"/>
    <x v="1"/>
    <x v="3"/>
    <x v="2"/>
    <x v="2"/>
    <x v="0"/>
    <x v="11"/>
    <x v="1"/>
  </r>
  <r>
    <x v="213"/>
    <x v="11"/>
    <x v="11"/>
    <x v="6"/>
    <x v="12"/>
    <x v="11"/>
    <x v="3"/>
    <x v="1"/>
    <x v="5"/>
    <x v="2"/>
    <x v="2"/>
    <x v="0"/>
    <x v="12"/>
    <x v="1"/>
  </r>
  <r>
    <x v="214"/>
    <x v="117"/>
    <x v="119"/>
    <x v="51"/>
    <x v="43"/>
    <x v="7"/>
    <x v="22"/>
    <x v="1"/>
    <x v="8"/>
    <x v="1"/>
    <x v="11"/>
    <x v="0"/>
    <x v="115"/>
    <x v="1"/>
  </r>
  <r>
    <x v="215"/>
    <x v="118"/>
    <x v="120"/>
    <x v="3"/>
    <x v="24"/>
    <x v="44"/>
    <x v="9"/>
    <x v="1"/>
    <x v="2"/>
    <x v="1"/>
    <x v="3"/>
    <x v="0"/>
    <x v="65"/>
    <x v="1"/>
  </r>
  <r>
    <x v="216"/>
    <x v="119"/>
    <x v="121"/>
    <x v="52"/>
    <x v="30"/>
    <x v="5"/>
    <x v="17"/>
    <x v="1"/>
    <x v="7"/>
    <x v="1"/>
    <x v="42"/>
    <x v="0"/>
    <x v="116"/>
    <x v="1"/>
  </r>
  <r>
    <x v="217"/>
    <x v="120"/>
    <x v="122"/>
    <x v="30"/>
    <x v="76"/>
    <x v="20"/>
    <x v="3"/>
    <x v="0"/>
    <x v="3"/>
    <x v="1"/>
    <x v="55"/>
    <x v="0"/>
    <x v="117"/>
    <x v="1"/>
  </r>
  <r>
    <x v="218"/>
    <x v="3"/>
    <x v="3"/>
    <x v="2"/>
    <x v="3"/>
    <x v="3"/>
    <x v="3"/>
    <x v="1"/>
    <x v="1"/>
    <x v="2"/>
    <x v="2"/>
    <x v="0"/>
    <x v="3"/>
    <x v="1"/>
  </r>
  <r>
    <x v="219"/>
    <x v="3"/>
    <x v="3"/>
    <x v="2"/>
    <x v="3"/>
    <x v="3"/>
    <x v="3"/>
    <x v="1"/>
    <x v="1"/>
    <x v="2"/>
    <x v="2"/>
    <x v="0"/>
    <x v="3"/>
    <x v="1"/>
  </r>
  <r>
    <x v="220"/>
    <x v="121"/>
    <x v="123"/>
    <x v="30"/>
    <x v="77"/>
    <x v="14"/>
    <x v="0"/>
    <x v="1"/>
    <x v="8"/>
    <x v="3"/>
    <x v="56"/>
    <x v="0"/>
    <x v="118"/>
    <x v="1"/>
  </r>
  <r>
    <x v="221"/>
    <x v="122"/>
    <x v="124"/>
    <x v="11"/>
    <x v="14"/>
    <x v="29"/>
    <x v="24"/>
    <x v="1"/>
    <x v="7"/>
    <x v="1"/>
    <x v="27"/>
    <x v="0"/>
    <x v="119"/>
    <x v="1"/>
  </r>
  <r>
    <x v="222"/>
    <x v="8"/>
    <x v="8"/>
    <x v="3"/>
    <x v="17"/>
    <x v="17"/>
    <x v="3"/>
    <x v="1"/>
    <x v="3"/>
    <x v="2"/>
    <x v="2"/>
    <x v="0"/>
    <x v="18"/>
    <x v="1"/>
  </r>
  <r>
    <x v="223"/>
    <x v="2"/>
    <x v="2"/>
    <x v="2"/>
    <x v="18"/>
    <x v="18"/>
    <x v="2"/>
    <x v="1"/>
    <x v="1"/>
    <x v="2"/>
    <x v="2"/>
    <x v="0"/>
    <x v="19"/>
    <x v="1"/>
  </r>
  <r>
    <x v="224"/>
    <x v="123"/>
    <x v="125"/>
    <x v="3"/>
    <x v="9"/>
    <x v="44"/>
    <x v="23"/>
    <x v="1"/>
    <x v="7"/>
    <x v="1"/>
    <x v="57"/>
    <x v="0"/>
    <x v="120"/>
    <x v="1"/>
  </r>
  <r>
    <x v="225"/>
    <x v="124"/>
    <x v="126"/>
    <x v="40"/>
    <x v="78"/>
    <x v="4"/>
    <x v="0"/>
    <x v="0"/>
    <x v="4"/>
    <x v="3"/>
    <x v="58"/>
    <x v="0"/>
    <x v="121"/>
    <x v="1"/>
  </r>
  <r>
    <x v="226"/>
    <x v="125"/>
    <x v="127"/>
    <x v="53"/>
    <x v="48"/>
    <x v="39"/>
    <x v="6"/>
    <x v="1"/>
    <x v="7"/>
    <x v="1"/>
    <x v="3"/>
    <x v="0"/>
    <x v="122"/>
    <x v="1"/>
  </r>
  <r>
    <x v="227"/>
    <x v="126"/>
    <x v="128"/>
    <x v="54"/>
    <x v="79"/>
    <x v="61"/>
    <x v="9"/>
    <x v="1"/>
    <x v="7"/>
    <x v="0"/>
    <x v="59"/>
    <x v="0"/>
    <x v="123"/>
    <x v="1"/>
  </r>
  <r>
    <x v="228"/>
    <x v="8"/>
    <x v="8"/>
    <x v="2"/>
    <x v="8"/>
    <x v="22"/>
    <x v="0"/>
    <x v="1"/>
    <x v="3"/>
    <x v="2"/>
    <x v="2"/>
    <x v="0"/>
    <x v="24"/>
    <x v="1"/>
  </r>
  <r>
    <x v="229"/>
    <x v="8"/>
    <x v="8"/>
    <x v="3"/>
    <x v="22"/>
    <x v="2"/>
    <x v="10"/>
    <x v="1"/>
    <x v="3"/>
    <x v="2"/>
    <x v="2"/>
    <x v="0"/>
    <x v="25"/>
    <x v="1"/>
  </r>
  <r>
    <x v="230"/>
    <x v="127"/>
    <x v="129"/>
    <x v="55"/>
    <x v="15"/>
    <x v="14"/>
    <x v="25"/>
    <x v="1"/>
    <x v="5"/>
    <x v="1"/>
    <x v="60"/>
    <x v="0"/>
    <x v="124"/>
    <x v="1"/>
  </r>
  <r>
    <x v="231"/>
    <x v="128"/>
    <x v="130"/>
    <x v="0"/>
    <x v="80"/>
    <x v="33"/>
    <x v="0"/>
    <x v="1"/>
    <x v="7"/>
    <x v="4"/>
    <x v="56"/>
    <x v="0"/>
    <x v="125"/>
    <x v="1"/>
  </r>
  <r>
    <x v="232"/>
    <x v="8"/>
    <x v="8"/>
    <x v="3"/>
    <x v="8"/>
    <x v="8"/>
    <x v="0"/>
    <x v="1"/>
    <x v="3"/>
    <x v="2"/>
    <x v="2"/>
    <x v="0"/>
    <x v="8"/>
    <x v="1"/>
  </r>
  <r>
    <x v="233"/>
    <x v="2"/>
    <x v="2"/>
    <x v="13"/>
    <x v="8"/>
    <x v="24"/>
    <x v="2"/>
    <x v="1"/>
    <x v="1"/>
    <x v="2"/>
    <x v="2"/>
    <x v="0"/>
    <x v="27"/>
    <x v="1"/>
  </r>
  <r>
    <x v="234"/>
    <x v="129"/>
    <x v="131"/>
    <x v="3"/>
    <x v="53"/>
    <x v="47"/>
    <x v="0"/>
    <x v="0"/>
    <x v="9"/>
    <x v="0"/>
    <x v="28"/>
    <x v="0"/>
    <x v="71"/>
    <x v="1"/>
  </r>
  <r>
    <x v="235"/>
    <x v="64"/>
    <x v="66"/>
    <x v="3"/>
    <x v="9"/>
    <x v="44"/>
    <x v="7"/>
    <x v="0"/>
    <x v="7"/>
    <x v="0"/>
    <x v="43"/>
    <x v="0"/>
    <x v="120"/>
    <x v="1"/>
  </r>
  <r>
    <x v="236"/>
    <x v="130"/>
    <x v="132"/>
    <x v="3"/>
    <x v="77"/>
    <x v="30"/>
    <x v="3"/>
    <x v="1"/>
    <x v="1"/>
    <x v="2"/>
    <x v="2"/>
    <x v="0"/>
    <x v="126"/>
    <x v="1"/>
  </r>
  <r>
    <x v="237"/>
    <x v="131"/>
    <x v="133"/>
    <x v="3"/>
    <x v="64"/>
    <x v="62"/>
    <x v="17"/>
    <x v="1"/>
    <x v="2"/>
    <x v="1"/>
    <x v="17"/>
    <x v="0"/>
    <x v="127"/>
    <x v="1"/>
  </r>
  <r>
    <x v="238"/>
    <x v="8"/>
    <x v="8"/>
    <x v="12"/>
    <x v="27"/>
    <x v="27"/>
    <x v="12"/>
    <x v="1"/>
    <x v="3"/>
    <x v="2"/>
    <x v="2"/>
    <x v="0"/>
    <x v="31"/>
    <x v="1"/>
  </r>
  <r>
    <x v="239"/>
    <x v="8"/>
    <x v="23"/>
    <x v="15"/>
    <x v="28"/>
    <x v="28"/>
    <x v="0"/>
    <x v="1"/>
    <x v="3"/>
    <x v="2"/>
    <x v="2"/>
    <x v="0"/>
    <x v="32"/>
    <x v="1"/>
  </r>
  <r>
    <x v="240"/>
    <x v="13"/>
    <x v="134"/>
    <x v="3"/>
    <x v="78"/>
    <x v="50"/>
    <x v="0"/>
    <x v="0"/>
    <x v="2"/>
    <x v="0"/>
    <x v="19"/>
    <x v="0"/>
    <x v="128"/>
    <x v="1"/>
  </r>
  <r>
    <x v="241"/>
    <x v="10"/>
    <x v="10"/>
    <x v="7"/>
    <x v="5"/>
    <x v="21"/>
    <x v="0"/>
    <x v="1"/>
    <x v="4"/>
    <x v="1"/>
    <x v="10"/>
    <x v="0"/>
    <x v="22"/>
    <x v="1"/>
  </r>
  <r>
    <x v="242"/>
    <x v="17"/>
    <x v="17"/>
    <x v="11"/>
    <x v="20"/>
    <x v="20"/>
    <x v="9"/>
    <x v="1"/>
    <x v="2"/>
    <x v="0"/>
    <x v="3"/>
    <x v="0"/>
    <x v="21"/>
    <x v="2"/>
  </r>
  <r>
    <x v="243"/>
    <x v="3"/>
    <x v="3"/>
    <x v="2"/>
    <x v="3"/>
    <x v="3"/>
    <x v="3"/>
    <x v="1"/>
    <x v="1"/>
    <x v="2"/>
    <x v="2"/>
    <x v="0"/>
    <x v="3"/>
    <x v="2"/>
  </r>
  <r>
    <x v="244"/>
    <x v="132"/>
    <x v="135"/>
    <x v="23"/>
    <x v="48"/>
    <x v="43"/>
    <x v="0"/>
    <x v="1"/>
    <x v="7"/>
    <x v="0"/>
    <x v="19"/>
    <x v="0"/>
    <x v="64"/>
    <x v="2"/>
  </r>
  <r>
    <x v="245"/>
    <x v="38"/>
    <x v="39"/>
    <x v="0"/>
    <x v="74"/>
    <x v="58"/>
    <x v="28"/>
    <x v="1"/>
    <x v="1"/>
    <x v="1"/>
    <x v="61"/>
    <x v="0"/>
    <x v="44"/>
    <x v="2"/>
  </r>
  <r>
    <x v="246"/>
    <x v="38"/>
    <x v="39"/>
    <x v="25"/>
    <x v="31"/>
    <x v="0"/>
    <x v="16"/>
    <x v="0"/>
    <x v="6"/>
    <x v="1"/>
    <x v="26"/>
    <x v="0"/>
    <x v="53"/>
    <x v="2"/>
  </r>
  <r>
    <x v="247"/>
    <x v="13"/>
    <x v="134"/>
    <x v="0"/>
    <x v="81"/>
    <x v="63"/>
    <x v="0"/>
    <x v="0"/>
    <x v="2"/>
    <x v="0"/>
    <x v="19"/>
    <x v="0"/>
    <x v="129"/>
    <x v="2"/>
  </r>
  <r>
    <x v="248"/>
    <x v="2"/>
    <x v="2"/>
    <x v="2"/>
    <x v="2"/>
    <x v="2"/>
    <x v="2"/>
    <x v="1"/>
    <x v="1"/>
    <x v="2"/>
    <x v="2"/>
    <x v="0"/>
    <x v="2"/>
    <x v="2"/>
  </r>
  <r>
    <x v="249"/>
    <x v="8"/>
    <x v="8"/>
    <x v="3"/>
    <x v="8"/>
    <x v="8"/>
    <x v="0"/>
    <x v="1"/>
    <x v="3"/>
    <x v="2"/>
    <x v="2"/>
    <x v="0"/>
    <x v="8"/>
    <x v="2"/>
  </r>
  <r>
    <x v="250"/>
    <x v="4"/>
    <x v="4"/>
    <x v="56"/>
    <x v="82"/>
    <x v="64"/>
    <x v="8"/>
    <x v="1"/>
    <x v="2"/>
    <x v="3"/>
    <x v="62"/>
    <x v="0"/>
    <x v="44"/>
    <x v="2"/>
  </r>
  <r>
    <x v="251"/>
    <x v="133"/>
    <x v="136"/>
    <x v="57"/>
    <x v="37"/>
    <x v="18"/>
    <x v="0"/>
    <x v="0"/>
    <x v="2"/>
    <x v="0"/>
    <x v="63"/>
    <x v="0"/>
    <x v="130"/>
    <x v="2"/>
  </r>
  <r>
    <x v="252"/>
    <x v="8"/>
    <x v="8"/>
    <x v="5"/>
    <x v="11"/>
    <x v="10"/>
    <x v="6"/>
    <x v="1"/>
    <x v="3"/>
    <x v="2"/>
    <x v="2"/>
    <x v="0"/>
    <x v="11"/>
    <x v="2"/>
  </r>
  <r>
    <x v="253"/>
    <x v="11"/>
    <x v="11"/>
    <x v="6"/>
    <x v="12"/>
    <x v="11"/>
    <x v="3"/>
    <x v="1"/>
    <x v="5"/>
    <x v="2"/>
    <x v="2"/>
    <x v="0"/>
    <x v="12"/>
    <x v="2"/>
  </r>
  <r>
    <x v="254"/>
    <x v="134"/>
    <x v="137"/>
    <x v="56"/>
    <x v="9"/>
    <x v="58"/>
    <x v="22"/>
    <x v="0"/>
    <x v="7"/>
    <x v="0"/>
    <x v="9"/>
    <x v="0"/>
    <x v="131"/>
    <x v="2"/>
  </r>
  <r>
    <x v="255"/>
    <x v="135"/>
    <x v="138"/>
    <x v="46"/>
    <x v="14"/>
    <x v="16"/>
    <x v="5"/>
    <x v="1"/>
    <x v="5"/>
    <x v="2"/>
    <x v="10"/>
    <x v="0"/>
    <x v="132"/>
    <x v="2"/>
  </r>
  <r>
    <x v="256"/>
    <x v="13"/>
    <x v="13"/>
    <x v="0"/>
    <x v="15"/>
    <x v="42"/>
    <x v="0"/>
    <x v="0"/>
    <x v="8"/>
    <x v="0"/>
    <x v="6"/>
    <x v="0"/>
    <x v="133"/>
    <x v="2"/>
  </r>
  <r>
    <x v="257"/>
    <x v="30"/>
    <x v="31"/>
    <x v="23"/>
    <x v="24"/>
    <x v="10"/>
    <x v="0"/>
    <x v="0"/>
    <x v="2"/>
    <x v="0"/>
    <x v="19"/>
    <x v="0"/>
    <x v="134"/>
    <x v="2"/>
  </r>
  <r>
    <x v="258"/>
    <x v="3"/>
    <x v="3"/>
    <x v="2"/>
    <x v="3"/>
    <x v="3"/>
    <x v="3"/>
    <x v="1"/>
    <x v="1"/>
    <x v="2"/>
    <x v="2"/>
    <x v="0"/>
    <x v="3"/>
    <x v="2"/>
  </r>
  <r>
    <x v="259"/>
    <x v="3"/>
    <x v="3"/>
    <x v="2"/>
    <x v="3"/>
    <x v="3"/>
    <x v="3"/>
    <x v="1"/>
    <x v="1"/>
    <x v="2"/>
    <x v="2"/>
    <x v="0"/>
    <x v="3"/>
    <x v="2"/>
  </r>
  <r>
    <x v="260"/>
    <x v="132"/>
    <x v="135"/>
    <x v="23"/>
    <x v="9"/>
    <x v="8"/>
    <x v="0"/>
    <x v="1"/>
    <x v="7"/>
    <x v="0"/>
    <x v="19"/>
    <x v="0"/>
    <x v="135"/>
    <x v="2"/>
  </r>
  <r>
    <x v="261"/>
    <x v="132"/>
    <x v="135"/>
    <x v="23"/>
    <x v="43"/>
    <x v="11"/>
    <x v="0"/>
    <x v="1"/>
    <x v="7"/>
    <x v="0"/>
    <x v="19"/>
    <x v="0"/>
    <x v="136"/>
    <x v="2"/>
  </r>
  <r>
    <x v="262"/>
    <x v="8"/>
    <x v="8"/>
    <x v="3"/>
    <x v="17"/>
    <x v="17"/>
    <x v="3"/>
    <x v="1"/>
    <x v="3"/>
    <x v="2"/>
    <x v="2"/>
    <x v="0"/>
    <x v="18"/>
    <x v="2"/>
  </r>
  <r>
    <x v="263"/>
    <x v="2"/>
    <x v="2"/>
    <x v="2"/>
    <x v="18"/>
    <x v="18"/>
    <x v="0"/>
    <x v="1"/>
    <x v="1"/>
    <x v="2"/>
    <x v="2"/>
    <x v="0"/>
    <x v="19"/>
    <x v="2"/>
  </r>
  <r>
    <x v="264"/>
    <x v="136"/>
    <x v="139"/>
    <x v="0"/>
    <x v="83"/>
    <x v="3"/>
    <x v="3"/>
    <x v="1"/>
    <x v="6"/>
    <x v="2"/>
    <x v="2"/>
    <x v="0"/>
    <x v="137"/>
    <x v="2"/>
  </r>
  <r>
    <x v="265"/>
    <x v="137"/>
    <x v="140"/>
    <x v="58"/>
    <x v="31"/>
    <x v="34"/>
    <x v="16"/>
    <x v="1"/>
    <x v="0"/>
    <x v="1"/>
    <x v="64"/>
    <x v="0"/>
    <x v="138"/>
    <x v="2"/>
  </r>
  <r>
    <x v="266"/>
    <x v="138"/>
    <x v="141"/>
    <x v="0"/>
    <x v="5"/>
    <x v="50"/>
    <x v="21"/>
    <x v="1"/>
    <x v="9"/>
    <x v="0"/>
    <x v="3"/>
    <x v="0"/>
    <x v="75"/>
    <x v="2"/>
  </r>
  <r>
    <x v="267"/>
    <x v="139"/>
    <x v="142"/>
    <x v="30"/>
    <x v="84"/>
    <x v="47"/>
    <x v="10"/>
    <x v="1"/>
    <x v="6"/>
    <x v="5"/>
    <x v="65"/>
    <x v="0"/>
    <x v="139"/>
    <x v="2"/>
  </r>
  <r>
    <x v="268"/>
    <x v="8"/>
    <x v="8"/>
    <x v="2"/>
    <x v="8"/>
    <x v="22"/>
    <x v="0"/>
    <x v="1"/>
    <x v="3"/>
    <x v="2"/>
    <x v="2"/>
    <x v="0"/>
    <x v="24"/>
    <x v="2"/>
  </r>
  <r>
    <x v="269"/>
    <x v="8"/>
    <x v="8"/>
    <x v="3"/>
    <x v="22"/>
    <x v="2"/>
    <x v="10"/>
    <x v="1"/>
    <x v="3"/>
    <x v="2"/>
    <x v="2"/>
    <x v="0"/>
    <x v="25"/>
    <x v="2"/>
  </r>
  <r>
    <x v="270"/>
    <x v="140"/>
    <x v="143"/>
    <x v="0"/>
    <x v="85"/>
    <x v="25"/>
    <x v="1"/>
    <x v="0"/>
    <x v="5"/>
    <x v="0"/>
    <x v="3"/>
    <x v="0"/>
    <x v="140"/>
    <x v="2"/>
  </r>
  <r>
    <x v="271"/>
    <x v="141"/>
    <x v="144"/>
    <x v="59"/>
    <x v="43"/>
    <x v="48"/>
    <x v="23"/>
    <x v="3"/>
    <x v="9"/>
    <x v="1"/>
    <x v="9"/>
    <x v="0"/>
    <x v="141"/>
    <x v="2"/>
  </r>
  <r>
    <x v="272"/>
    <x v="8"/>
    <x v="8"/>
    <x v="3"/>
    <x v="8"/>
    <x v="8"/>
    <x v="0"/>
    <x v="1"/>
    <x v="3"/>
    <x v="2"/>
    <x v="2"/>
    <x v="0"/>
    <x v="8"/>
    <x v="2"/>
  </r>
  <r>
    <x v="273"/>
    <x v="2"/>
    <x v="2"/>
    <x v="13"/>
    <x v="8"/>
    <x v="24"/>
    <x v="2"/>
    <x v="1"/>
    <x v="1"/>
    <x v="2"/>
    <x v="2"/>
    <x v="0"/>
    <x v="27"/>
    <x v="2"/>
  </r>
  <r>
    <x v="274"/>
    <x v="142"/>
    <x v="145"/>
    <x v="0"/>
    <x v="86"/>
    <x v="57"/>
    <x v="17"/>
    <x v="0"/>
    <x v="6"/>
    <x v="1"/>
    <x v="45"/>
    <x v="0"/>
    <x v="63"/>
    <x v="2"/>
  </r>
  <r>
    <x v="275"/>
    <x v="4"/>
    <x v="4"/>
    <x v="3"/>
    <x v="4"/>
    <x v="4"/>
    <x v="0"/>
    <x v="0"/>
    <x v="2"/>
    <x v="0"/>
    <x v="3"/>
    <x v="0"/>
    <x v="4"/>
    <x v="2"/>
  </r>
  <r>
    <x v="276"/>
    <x v="143"/>
    <x v="146"/>
    <x v="11"/>
    <x v="58"/>
    <x v="31"/>
    <x v="23"/>
    <x v="0"/>
    <x v="7"/>
    <x v="0"/>
    <x v="60"/>
    <x v="0"/>
    <x v="142"/>
    <x v="2"/>
  </r>
  <r>
    <x v="277"/>
    <x v="144"/>
    <x v="147"/>
    <x v="1"/>
    <x v="13"/>
    <x v="33"/>
    <x v="17"/>
    <x v="0"/>
    <x v="7"/>
    <x v="0"/>
    <x v="3"/>
    <x v="0"/>
    <x v="42"/>
    <x v="2"/>
  </r>
  <r>
    <x v="278"/>
    <x v="8"/>
    <x v="8"/>
    <x v="12"/>
    <x v="27"/>
    <x v="27"/>
    <x v="12"/>
    <x v="1"/>
    <x v="3"/>
    <x v="2"/>
    <x v="2"/>
    <x v="0"/>
    <x v="31"/>
    <x v="2"/>
  </r>
  <r>
    <x v="279"/>
    <x v="8"/>
    <x v="23"/>
    <x v="15"/>
    <x v="28"/>
    <x v="28"/>
    <x v="0"/>
    <x v="1"/>
    <x v="3"/>
    <x v="2"/>
    <x v="2"/>
    <x v="0"/>
    <x v="32"/>
    <x v="2"/>
  </r>
  <r>
    <x v="280"/>
    <x v="145"/>
    <x v="148"/>
    <x v="23"/>
    <x v="87"/>
    <x v="18"/>
    <x v="16"/>
    <x v="0"/>
    <x v="5"/>
    <x v="1"/>
    <x v="66"/>
    <x v="0"/>
    <x v="143"/>
    <x v="2"/>
  </r>
  <r>
    <x v="281"/>
    <x v="14"/>
    <x v="14"/>
    <x v="11"/>
    <x v="88"/>
    <x v="65"/>
    <x v="7"/>
    <x v="1"/>
    <x v="2"/>
    <x v="0"/>
    <x v="5"/>
    <x v="0"/>
    <x v="144"/>
    <x v="2"/>
  </r>
  <r>
    <x v="282"/>
    <x v="146"/>
    <x v="149"/>
    <x v="60"/>
    <x v="45"/>
    <x v="47"/>
    <x v="29"/>
    <x v="1"/>
    <x v="8"/>
    <x v="0"/>
    <x v="67"/>
    <x v="0"/>
    <x v="145"/>
    <x v="2"/>
  </r>
  <r>
    <x v="283"/>
    <x v="3"/>
    <x v="3"/>
    <x v="2"/>
    <x v="3"/>
    <x v="3"/>
    <x v="3"/>
    <x v="1"/>
    <x v="1"/>
    <x v="2"/>
    <x v="2"/>
    <x v="0"/>
    <x v="3"/>
    <x v="2"/>
  </r>
  <r>
    <x v="284"/>
    <x v="4"/>
    <x v="4"/>
    <x v="61"/>
    <x v="54"/>
    <x v="37"/>
    <x v="7"/>
    <x v="1"/>
    <x v="2"/>
    <x v="0"/>
    <x v="36"/>
    <x v="0"/>
    <x v="146"/>
    <x v="2"/>
  </r>
  <r>
    <x v="285"/>
    <x v="147"/>
    <x v="150"/>
    <x v="3"/>
    <x v="22"/>
    <x v="2"/>
    <x v="3"/>
    <x v="1"/>
    <x v="6"/>
    <x v="2"/>
    <x v="2"/>
    <x v="0"/>
    <x v="25"/>
    <x v="3"/>
  </r>
  <r>
    <x v="286"/>
    <x v="148"/>
    <x v="151"/>
    <x v="3"/>
    <x v="48"/>
    <x v="29"/>
    <x v="21"/>
    <x v="0"/>
    <x v="7"/>
    <x v="0"/>
    <x v="6"/>
    <x v="0"/>
    <x v="147"/>
    <x v="3"/>
  </r>
  <r>
    <x v="287"/>
    <x v="149"/>
    <x v="152"/>
    <x v="1"/>
    <x v="4"/>
    <x v="25"/>
    <x v="7"/>
    <x v="1"/>
    <x v="7"/>
    <x v="0"/>
    <x v="6"/>
    <x v="0"/>
    <x v="53"/>
    <x v="3"/>
  </r>
  <r>
    <x v="288"/>
    <x v="2"/>
    <x v="2"/>
    <x v="2"/>
    <x v="2"/>
    <x v="2"/>
    <x v="2"/>
    <x v="1"/>
    <x v="1"/>
    <x v="2"/>
    <x v="2"/>
    <x v="0"/>
    <x v="2"/>
    <x v="3"/>
  </r>
  <r>
    <x v="289"/>
    <x v="8"/>
    <x v="8"/>
    <x v="3"/>
    <x v="8"/>
    <x v="8"/>
    <x v="0"/>
    <x v="1"/>
    <x v="3"/>
    <x v="2"/>
    <x v="2"/>
    <x v="0"/>
    <x v="8"/>
    <x v="3"/>
  </r>
  <r>
    <x v="290"/>
    <x v="150"/>
    <x v="153"/>
    <x v="3"/>
    <x v="37"/>
    <x v="5"/>
    <x v="0"/>
    <x v="1"/>
    <x v="1"/>
    <x v="1"/>
    <x v="47"/>
    <x v="0"/>
    <x v="148"/>
    <x v="3"/>
  </r>
  <r>
    <x v="291"/>
    <x v="151"/>
    <x v="154"/>
    <x v="0"/>
    <x v="4"/>
    <x v="57"/>
    <x v="0"/>
    <x v="0"/>
    <x v="7"/>
    <x v="3"/>
    <x v="19"/>
    <x v="0"/>
    <x v="35"/>
    <x v="3"/>
  </r>
  <r>
    <x v="292"/>
    <x v="8"/>
    <x v="8"/>
    <x v="5"/>
    <x v="11"/>
    <x v="10"/>
    <x v="6"/>
    <x v="1"/>
    <x v="3"/>
    <x v="2"/>
    <x v="2"/>
    <x v="0"/>
    <x v="11"/>
    <x v="3"/>
  </r>
  <r>
    <x v="293"/>
    <x v="11"/>
    <x v="11"/>
    <x v="6"/>
    <x v="12"/>
    <x v="11"/>
    <x v="3"/>
    <x v="1"/>
    <x v="5"/>
    <x v="2"/>
    <x v="2"/>
    <x v="0"/>
    <x v="12"/>
    <x v="3"/>
  </r>
  <r>
    <x v="294"/>
    <x v="148"/>
    <x v="155"/>
    <x v="3"/>
    <x v="5"/>
    <x v="5"/>
    <x v="0"/>
    <x v="0"/>
    <x v="7"/>
    <x v="1"/>
    <x v="19"/>
    <x v="0"/>
    <x v="5"/>
    <x v="3"/>
  </r>
  <r>
    <x v="295"/>
    <x v="152"/>
    <x v="156"/>
    <x v="3"/>
    <x v="10"/>
    <x v="62"/>
    <x v="0"/>
    <x v="0"/>
    <x v="8"/>
    <x v="0"/>
    <x v="3"/>
    <x v="0"/>
    <x v="149"/>
    <x v="3"/>
  </r>
  <r>
    <x v="296"/>
    <x v="153"/>
    <x v="157"/>
    <x v="46"/>
    <x v="13"/>
    <x v="26"/>
    <x v="22"/>
    <x v="0"/>
    <x v="7"/>
    <x v="0"/>
    <x v="3"/>
    <x v="0"/>
    <x v="150"/>
    <x v="3"/>
  </r>
  <r>
    <x v="297"/>
    <x v="154"/>
    <x v="158"/>
    <x v="1"/>
    <x v="45"/>
    <x v="41"/>
    <x v="30"/>
    <x v="1"/>
    <x v="9"/>
    <x v="2"/>
    <x v="3"/>
    <x v="0"/>
    <x v="61"/>
    <x v="3"/>
  </r>
  <r>
    <x v="298"/>
    <x v="3"/>
    <x v="3"/>
    <x v="2"/>
    <x v="3"/>
    <x v="3"/>
    <x v="3"/>
    <x v="1"/>
    <x v="1"/>
    <x v="2"/>
    <x v="2"/>
    <x v="0"/>
    <x v="3"/>
    <x v="3"/>
  </r>
  <r>
    <x v="299"/>
    <x v="3"/>
    <x v="3"/>
    <x v="2"/>
    <x v="3"/>
    <x v="3"/>
    <x v="3"/>
    <x v="1"/>
    <x v="1"/>
    <x v="2"/>
    <x v="2"/>
    <x v="0"/>
    <x v="3"/>
    <x v="3"/>
  </r>
  <r>
    <x v="300"/>
    <x v="13"/>
    <x v="13"/>
    <x v="0"/>
    <x v="13"/>
    <x v="45"/>
    <x v="21"/>
    <x v="0"/>
    <x v="2"/>
    <x v="0"/>
    <x v="19"/>
    <x v="0"/>
    <x v="66"/>
    <x v="3"/>
  </r>
  <r>
    <x v="301"/>
    <x v="13"/>
    <x v="13"/>
    <x v="46"/>
    <x v="13"/>
    <x v="26"/>
    <x v="21"/>
    <x v="0"/>
    <x v="2"/>
    <x v="0"/>
    <x v="3"/>
    <x v="0"/>
    <x v="150"/>
    <x v="3"/>
  </r>
  <r>
    <x v="302"/>
    <x v="8"/>
    <x v="8"/>
    <x v="3"/>
    <x v="17"/>
    <x v="17"/>
    <x v="3"/>
    <x v="1"/>
    <x v="3"/>
    <x v="2"/>
    <x v="2"/>
    <x v="0"/>
    <x v="18"/>
    <x v="3"/>
  </r>
  <r>
    <x v="303"/>
    <x v="2"/>
    <x v="2"/>
    <x v="2"/>
    <x v="18"/>
    <x v="18"/>
    <x v="2"/>
    <x v="1"/>
    <x v="1"/>
    <x v="2"/>
    <x v="2"/>
    <x v="0"/>
    <x v="19"/>
    <x v="3"/>
  </r>
  <r>
    <x v="304"/>
    <x v="13"/>
    <x v="13"/>
    <x v="23"/>
    <x v="36"/>
    <x v="63"/>
    <x v="7"/>
    <x v="0"/>
    <x v="2"/>
    <x v="0"/>
    <x v="6"/>
    <x v="0"/>
    <x v="151"/>
    <x v="3"/>
  </r>
  <r>
    <x v="305"/>
    <x v="16"/>
    <x v="16"/>
    <x v="0"/>
    <x v="9"/>
    <x v="5"/>
    <x v="0"/>
    <x v="0"/>
    <x v="7"/>
    <x v="0"/>
    <x v="6"/>
    <x v="0"/>
    <x v="9"/>
    <x v="3"/>
  </r>
  <r>
    <x v="306"/>
    <x v="155"/>
    <x v="159"/>
    <x v="3"/>
    <x v="9"/>
    <x v="44"/>
    <x v="0"/>
    <x v="0"/>
    <x v="2"/>
    <x v="3"/>
    <x v="19"/>
    <x v="0"/>
    <x v="120"/>
    <x v="3"/>
  </r>
  <r>
    <x v="307"/>
    <x v="13"/>
    <x v="13"/>
    <x v="3"/>
    <x v="9"/>
    <x v="44"/>
    <x v="0"/>
    <x v="0"/>
    <x v="2"/>
    <x v="0"/>
    <x v="19"/>
    <x v="0"/>
    <x v="120"/>
    <x v="3"/>
  </r>
  <r>
    <x v="308"/>
    <x v="8"/>
    <x v="8"/>
    <x v="2"/>
    <x v="8"/>
    <x v="22"/>
    <x v="0"/>
    <x v="1"/>
    <x v="3"/>
    <x v="2"/>
    <x v="2"/>
    <x v="0"/>
    <x v="24"/>
    <x v="3"/>
  </r>
  <r>
    <x v="309"/>
    <x v="8"/>
    <x v="8"/>
    <x v="3"/>
    <x v="22"/>
    <x v="2"/>
    <x v="10"/>
    <x v="1"/>
    <x v="3"/>
    <x v="2"/>
    <x v="2"/>
    <x v="0"/>
    <x v="25"/>
    <x v="3"/>
  </r>
  <r>
    <x v="310"/>
    <x v="148"/>
    <x v="151"/>
    <x v="3"/>
    <x v="15"/>
    <x v="14"/>
    <x v="0"/>
    <x v="1"/>
    <x v="7"/>
    <x v="6"/>
    <x v="19"/>
    <x v="0"/>
    <x v="15"/>
    <x v="3"/>
  </r>
  <r>
    <x v="311"/>
    <x v="13"/>
    <x v="13"/>
    <x v="3"/>
    <x v="34"/>
    <x v="31"/>
    <x v="0"/>
    <x v="0"/>
    <x v="2"/>
    <x v="1"/>
    <x v="19"/>
    <x v="0"/>
    <x v="17"/>
    <x v="3"/>
  </r>
  <r>
    <x v="312"/>
    <x v="8"/>
    <x v="8"/>
    <x v="3"/>
    <x v="8"/>
    <x v="8"/>
    <x v="0"/>
    <x v="1"/>
    <x v="3"/>
    <x v="2"/>
    <x v="2"/>
    <x v="0"/>
    <x v="8"/>
    <x v="3"/>
  </r>
  <r>
    <x v="313"/>
    <x v="2"/>
    <x v="2"/>
    <x v="13"/>
    <x v="8"/>
    <x v="24"/>
    <x v="2"/>
    <x v="1"/>
    <x v="1"/>
    <x v="2"/>
    <x v="2"/>
    <x v="0"/>
    <x v="27"/>
    <x v="3"/>
  </r>
  <r>
    <x v="314"/>
    <x v="13"/>
    <x v="13"/>
    <x v="3"/>
    <x v="34"/>
    <x v="31"/>
    <x v="0"/>
    <x v="0"/>
    <x v="2"/>
    <x v="7"/>
    <x v="19"/>
    <x v="0"/>
    <x v="17"/>
    <x v="3"/>
  </r>
  <r>
    <x v="315"/>
    <x v="13"/>
    <x v="13"/>
    <x v="3"/>
    <x v="34"/>
    <x v="31"/>
    <x v="0"/>
    <x v="0"/>
    <x v="2"/>
    <x v="1"/>
    <x v="19"/>
    <x v="0"/>
    <x v="17"/>
    <x v="3"/>
  </r>
  <r>
    <x v="316"/>
    <x v="13"/>
    <x v="13"/>
    <x v="3"/>
    <x v="15"/>
    <x v="14"/>
    <x v="0"/>
    <x v="0"/>
    <x v="2"/>
    <x v="0"/>
    <x v="19"/>
    <x v="0"/>
    <x v="15"/>
    <x v="3"/>
  </r>
  <r>
    <x v="317"/>
    <x v="13"/>
    <x v="13"/>
    <x v="3"/>
    <x v="15"/>
    <x v="14"/>
    <x v="0"/>
    <x v="0"/>
    <x v="2"/>
    <x v="0"/>
    <x v="19"/>
    <x v="0"/>
    <x v="15"/>
    <x v="3"/>
  </r>
  <r>
    <x v="318"/>
    <x v="8"/>
    <x v="8"/>
    <x v="12"/>
    <x v="27"/>
    <x v="27"/>
    <x v="12"/>
    <x v="1"/>
    <x v="3"/>
    <x v="2"/>
    <x v="2"/>
    <x v="0"/>
    <x v="31"/>
    <x v="3"/>
  </r>
  <r>
    <x v="319"/>
    <x v="8"/>
    <x v="23"/>
    <x v="15"/>
    <x v="28"/>
    <x v="28"/>
    <x v="0"/>
    <x v="1"/>
    <x v="3"/>
    <x v="2"/>
    <x v="2"/>
    <x v="0"/>
    <x v="32"/>
    <x v="3"/>
  </r>
  <r>
    <x v="320"/>
    <x v="23"/>
    <x v="24"/>
    <x v="3"/>
    <x v="13"/>
    <x v="29"/>
    <x v="0"/>
    <x v="0"/>
    <x v="7"/>
    <x v="0"/>
    <x v="3"/>
    <x v="0"/>
    <x v="33"/>
    <x v="3"/>
  </r>
  <r>
    <x v="321"/>
    <x v="13"/>
    <x v="13"/>
    <x v="3"/>
    <x v="48"/>
    <x v="29"/>
    <x v="0"/>
    <x v="0"/>
    <x v="2"/>
    <x v="0"/>
    <x v="6"/>
    <x v="0"/>
    <x v="147"/>
    <x v="3"/>
  </r>
  <r>
    <x v="322"/>
    <x v="156"/>
    <x v="160"/>
    <x v="62"/>
    <x v="89"/>
    <x v="49"/>
    <x v="7"/>
    <x v="1"/>
    <x v="7"/>
    <x v="1"/>
    <x v="9"/>
    <x v="0"/>
    <x v="152"/>
    <x v="3"/>
  </r>
  <r>
    <x v="323"/>
    <x v="3"/>
    <x v="3"/>
    <x v="2"/>
    <x v="3"/>
    <x v="3"/>
    <x v="3"/>
    <x v="1"/>
    <x v="1"/>
    <x v="2"/>
    <x v="2"/>
    <x v="0"/>
    <x v="3"/>
    <x v="3"/>
  </r>
  <r>
    <x v="324"/>
    <x v="157"/>
    <x v="161"/>
    <x v="63"/>
    <x v="74"/>
    <x v="34"/>
    <x v="6"/>
    <x v="1"/>
    <x v="7"/>
    <x v="3"/>
    <x v="11"/>
    <x v="0"/>
    <x v="153"/>
    <x v="3"/>
  </r>
  <r>
    <x v="325"/>
    <x v="30"/>
    <x v="31"/>
    <x v="23"/>
    <x v="24"/>
    <x v="10"/>
    <x v="0"/>
    <x v="0"/>
    <x v="1"/>
    <x v="0"/>
    <x v="19"/>
    <x v="0"/>
    <x v="134"/>
    <x v="3"/>
  </r>
  <r>
    <x v="326"/>
    <x v="13"/>
    <x v="13"/>
    <x v="0"/>
    <x v="43"/>
    <x v="42"/>
    <x v="0"/>
    <x v="0"/>
    <x v="2"/>
    <x v="0"/>
    <x v="6"/>
    <x v="0"/>
    <x v="114"/>
    <x v="3"/>
  </r>
  <r>
    <x v="327"/>
    <x v="13"/>
    <x v="13"/>
    <x v="23"/>
    <x v="24"/>
    <x v="10"/>
    <x v="0"/>
    <x v="0"/>
    <x v="2"/>
    <x v="0"/>
    <x v="19"/>
    <x v="0"/>
    <x v="134"/>
    <x v="3"/>
  </r>
  <r>
    <x v="328"/>
    <x v="2"/>
    <x v="2"/>
    <x v="2"/>
    <x v="2"/>
    <x v="2"/>
    <x v="2"/>
    <x v="1"/>
    <x v="1"/>
    <x v="2"/>
    <x v="2"/>
    <x v="0"/>
    <x v="2"/>
    <x v="3"/>
  </r>
  <r>
    <x v="329"/>
    <x v="8"/>
    <x v="8"/>
    <x v="3"/>
    <x v="8"/>
    <x v="8"/>
    <x v="0"/>
    <x v="1"/>
    <x v="3"/>
    <x v="2"/>
    <x v="2"/>
    <x v="0"/>
    <x v="8"/>
    <x v="3"/>
  </r>
  <r>
    <x v="330"/>
    <x v="13"/>
    <x v="13"/>
    <x v="1"/>
    <x v="13"/>
    <x v="33"/>
    <x v="0"/>
    <x v="0"/>
    <x v="2"/>
    <x v="0"/>
    <x v="6"/>
    <x v="0"/>
    <x v="42"/>
    <x v="3"/>
  </r>
  <r>
    <x v="331"/>
    <x v="13"/>
    <x v="13"/>
    <x v="1"/>
    <x v="13"/>
    <x v="33"/>
    <x v="0"/>
    <x v="0"/>
    <x v="2"/>
    <x v="0"/>
    <x v="19"/>
    <x v="0"/>
    <x v="42"/>
    <x v="3"/>
  </r>
  <r>
    <x v="332"/>
    <x v="8"/>
    <x v="8"/>
    <x v="5"/>
    <x v="11"/>
    <x v="10"/>
    <x v="6"/>
    <x v="1"/>
    <x v="3"/>
    <x v="2"/>
    <x v="2"/>
    <x v="0"/>
    <x v="11"/>
    <x v="3"/>
  </r>
  <r>
    <x v="333"/>
    <x v="11"/>
    <x v="11"/>
    <x v="6"/>
    <x v="12"/>
    <x v="11"/>
    <x v="3"/>
    <x v="1"/>
    <x v="5"/>
    <x v="2"/>
    <x v="2"/>
    <x v="0"/>
    <x v="12"/>
    <x v="3"/>
  </r>
  <r>
    <x v="334"/>
    <x v="13"/>
    <x v="13"/>
    <x v="3"/>
    <x v="15"/>
    <x v="14"/>
    <x v="0"/>
    <x v="0"/>
    <x v="2"/>
    <x v="3"/>
    <x v="19"/>
    <x v="0"/>
    <x v="15"/>
    <x v="3"/>
  </r>
  <r>
    <x v="335"/>
    <x v="148"/>
    <x v="162"/>
    <x v="3"/>
    <x v="44"/>
    <x v="45"/>
    <x v="7"/>
    <x v="1"/>
    <x v="7"/>
    <x v="1"/>
    <x v="3"/>
    <x v="0"/>
    <x v="154"/>
    <x v="3"/>
  </r>
  <r>
    <x v="336"/>
    <x v="155"/>
    <x v="159"/>
    <x v="23"/>
    <x v="13"/>
    <x v="63"/>
    <x v="31"/>
    <x v="1"/>
    <x v="2"/>
    <x v="0"/>
    <x v="6"/>
    <x v="0"/>
    <x v="155"/>
    <x v="3"/>
  </r>
  <r>
    <x v="337"/>
    <x v="98"/>
    <x v="100"/>
    <x v="3"/>
    <x v="23"/>
    <x v="23"/>
    <x v="0"/>
    <x v="1"/>
    <x v="9"/>
    <x v="0"/>
    <x v="3"/>
    <x v="0"/>
    <x v="95"/>
    <x v="3"/>
  </r>
  <r>
    <x v="338"/>
    <x v="3"/>
    <x v="3"/>
    <x v="2"/>
    <x v="3"/>
    <x v="3"/>
    <x v="3"/>
    <x v="1"/>
    <x v="1"/>
    <x v="2"/>
    <x v="2"/>
    <x v="0"/>
    <x v="3"/>
    <x v="3"/>
  </r>
  <r>
    <x v="339"/>
    <x v="3"/>
    <x v="3"/>
    <x v="2"/>
    <x v="3"/>
    <x v="3"/>
    <x v="3"/>
    <x v="1"/>
    <x v="1"/>
    <x v="2"/>
    <x v="2"/>
    <x v="0"/>
    <x v="3"/>
    <x v="3"/>
  </r>
  <r>
    <x v="340"/>
    <x v="158"/>
    <x v="163"/>
    <x v="64"/>
    <x v="4"/>
    <x v="16"/>
    <x v="6"/>
    <x v="1"/>
    <x v="7"/>
    <x v="1"/>
    <x v="11"/>
    <x v="0"/>
    <x v="156"/>
    <x v="3"/>
  </r>
  <r>
    <x v="341"/>
    <x v="13"/>
    <x v="13"/>
    <x v="0"/>
    <x v="36"/>
    <x v="45"/>
    <x v="5"/>
    <x v="0"/>
    <x v="2"/>
    <x v="0"/>
    <x v="19"/>
    <x v="0"/>
    <x v="157"/>
    <x v="3"/>
  </r>
  <r>
    <x v="342"/>
    <x v="8"/>
    <x v="8"/>
    <x v="3"/>
    <x v="17"/>
    <x v="17"/>
    <x v="3"/>
    <x v="1"/>
    <x v="3"/>
    <x v="2"/>
    <x v="2"/>
    <x v="0"/>
    <x v="18"/>
    <x v="3"/>
  </r>
  <r>
    <x v="343"/>
    <x v="2"/>
    <x v="2"/>
    <x v="2"/>
    <x v="18"/>
    <x v="18"/>
    <x v="2"/>
    <x v="1"/>
    <x v="1"/>
    <x v="2"/>
    <x v="2"/>
    <x v="0"/>
    <x v="19"/>
    <x v="3"/>
  </r>
  <r>
    <x v="344"/>
    <x v="151"/>
    <x v="154"/>
    <x v="1"/>
    <x v="36"/>
    <x v="33"/>
    <x v="11"/>
    <x v="0"/>
    <x v="7"/>
    <x v="0"/>
    <x v="19"/>
    <x v="0"/>
    <x v="105"/>
    <x v="3"/>
  </r>
  <r>
    <x v="345"/>
    <x v="13"/>
    <x v="13"/>
    <x v="0"/>
    <x v="24"/>
    <x v="47"/>
    <x v="9"/>
    <x v="0"/>
    <x v="2"/>
    <x v="0"/>
    <x v="19"/>
    <x v="0"/>
    <x v="153"/>
    <x v="3"/>
  </r>
  <r>
    <x v="346"/>
    <x v="159"/>
    <x v="164"/>
    <x v="11"/>
    <x v="6"/>
    <x v="34"/>
    <x v="6"/>
    <x v="1"/>
    <x v="6"/>
    <x v="2"/>
    <x v="68"/>
    <x v="0"/>
    <x v="57"/>
    <x v="3"/>
  </r>
  <r>
    <x v="347"/>
    <x v="160"/>
    <x v="165"/>
    <x v="3"/>
    <x v="13"/>
    <x v="29"/>
    <x v="0"/>
    <x v="0"/>
    <x v="9"/>
    <x v="1"/>
    <x v="3"/>
    <x v="0"/>
    <x v="33"/>
    <x v="3"/>
  </r>
  <r>
    <x v="348"/>
    <x v="8"/>
    <x v="8"/>
    <x v="2"/>
    <x v="8"/>
    <x v="22"/>
    <x v="0"/>
    <x v="1"/>
    <x v="3"/>
    <x v="2"/>
    <x v="2"/>
    <x v="0"/>
    <x v="24"/>
    <x v="3"/>
  </r>
  <r>
    <x v="349"/>
    <x v="8"/>
    <x v="8"/>
    <x v="3"/>
    <x v="22"/>
    <x v="2"/>
    <x v="10"/>
    <x v="1"/>
    <x v="3"/>
    <x v="2"/>
    <x v="2"/>
    <x v="0"/>
    <x v="25"/>
    <x v="3"/>
  </r>
  <r>
    <x v="350"/>
    <x v="161"/>
    <x v="166"/>
    <x v="0"/>
    <x v="10"/>
    <x v="35"/>
    <x v="0"/>
    <x v="0"/>
    <x v="7"/>
    <x v="0"/>
    <x v="3"/>
    <x v="0"/>
    <x v="158"/>
    <x v="3"/>
  </r>
  <r>
    <x v="351"/>
    <x v="162"/>
    <x v="167"/>
    <x v="3"/>
    <x v="5"/>
    <x v="5"/>
    <x v="0"/>
    <x v="0"/>
    <x v="4"/>
    <x v="2"/>
    <x v="3"/>
    <x v="0"/>
    <x v="5"/>
    <x v="3"/>
  </r>
  <r>
    <x v="352"/>
    <x v="8"/>
    <x v="8"/>
    <x v="3"/>
    <x v="8"/>
    <x v="8"/>
    <x v="0"/>
    <x v="1"/>
    <x v="3"/>
    <x v="2"/>
    <x v="2"/>
    <x v="0"/>
    <x v="8"/>
    <x v="3"/>
  </r>
  <r>
    <x v="353"/>
    <x v="2"/>
    <x v="2"/>
    <x v="13"/>
    <x v="8"/>
    <x v="24"/>
    <x v="2"/>
    <x v="1"/>
    <x v="1"/>
    <x v="2"/>
    <x v="2"/>
    <x v="0"/>
    <x v="27"/>
    <x v="3"/>
  </r>
  <r>
    <x v="354"/>
    <x v="163"/>
    <x v="168"/>
    <x v="40"/>
    <x v="90"/>
    <x v="50"/>
    <x v="10"/>
    <x v="1"/>
    <x v="6"/>
    <x v="2"/>
    <x v="69"/>
    <x v="0"/>
    <x v="159"/>
    <x v="3"/>
  </r>
  <r>
    <x v="355"/>
    <x v="164"/>
    <x v="169"/>
    <x v="1"/>
    <x v="13"/>
    <x v="33"/>
    <x v="16"/>
    <x v="1"/>
    <x v="0"/>
    <x v="3"/>
    <x v="3"/>
    <x v="0"/>
    <x v="42"/>
    <x v="3"/>
  </r>
  <r>
    <x v="356"/>
    <x v="165"/>
    <x v="170"/>
    <x v="3"/>
    <x v="30"/>
    <x v="58"/>
    <x v="0"/>
    <x v="0"/>
    <x v="9"/>
    <x v="1"/>
    <x v="70"/>
    <x v="0"/>
    <x v="93"/>
    <x v="3"/>
  </r>
  <r>
    <x v="357"/>
    <x v="30"/>
    <x v="31"/>
    <x v="1"/>
    <x v="13"/>
    <x v="33"/>
    <x v="14"/>
    <x v="1"/>
    <x v="0"/>
    <x v="3"/>
    <x v="3"/>
    <x v="0"/>
    <x v="42"/>
    <x v="3"/>
  </r>
  <r>
    <x v="358"/>
    <x v="8"/>
    <x v="8"/>
    <x v="12"/>
    <x v="27"/>
    <x v="27"/>
    <x v="12"/>
    <x v="1"/>
    <x v="3"/>
    <x v="2"/>
    <x v="2"/>
    <x v="0"/>
    <x v="31"/>
    <x v="3"/>
  </r>
  <r>
    <x v="359"/>
    <x v="8"/>
    <x v="23"/>
    <x v="15"/>
    <x v="28"/>
    <x v="28"/>
    <x v="0"/>
    <x v="1"/>
    <x v="3"/>
    <x v="2"/>
    <x v="2"/>
    <x v="0"/>
    <x v="32"/>
    <x v="3"/>
  </r>
  <r>
    <x v="360"/>
    <x v="13"/>
    <x v="13"/>
    <x v="1"/>
    <x v="13"/>
    <x v="33"/>
    <x v="9"/>
    <x v="0"/>
    <x v="2"/>
    <x v="0"/>
    <x v="19"/>
    <x v="0"/>
    <x v="42"/>
    <x v="3"/>
  </r>
  <r>
    <x v="361"/>
    <x v="116"/>
    <x v="118"/>
    <x v="0"/>
    <x v="43"/>
    <x v="42"/>
    <x v="6"/>
    <x v="1"/>
    <x v="7"/>
    <x v="1"/>
    <x v="0"/>
    <x v="0"/>
    <x v="114"/>
    <x v="3"/>
  </r>
  <r>
    <x v="362"/>
    <x v="3"/>
    <x v="3"/>
    <x v="2"/>
    <x v="3"/>
    <x v="3"/>
    <x v="3"/>
    <x v="1"/>
    <x v="1"/>
    <x v="2"/>
    <x v="2"/>
    <x v="0"/>
    <x v="3"/>
    <x v="3"/>
  </r>
  <r>
    <x v="363"/>
    <x v="2"/>
    <x v="2"/>
    <x v="2"/>
    <x v="2"/>
    <x v="2"/>
    <x v="2"/>
    <x v="1"/>
    <x v="1"/>
    <x v="2"/>
    <x v="2"/>
    <x v="0"/>
    <x v="2"/>
    <x v="3"/>
  </r>
  <r>
    <x v="364"/>
    <x v="148"/>
    <x v="151"/>
    <x v="1"/>
    <x v="13"/>
    <x v="33"/>
    <x v="17"/>
    <x v="0"/>
    <x v="7"/>
    <x v="0"/>
    <x v="3"/>
    <x v="0"/>
    <x v="42"/>
    <x v="3"/>
  </r>
  <r>
    <x v="365"/>
    <x v="124"/>
    <x v="126"/>
    <x v="40"/>
    <x v="78"/>
    <x v="4"/>
    <x v="0"/>
    <x v="0"/>
    <x v="4"/>
    <x v="3"/>
    <x v="58"/>
    <x v="0"/>
    <x v="121"/>
    <x v="3"/>
  </r>
  <r>
    <x v="366"/>
    <x v="161"/>
    <x v="171"/>
    <x v="0"/>
    <x v="10"/>
    <x v="35"/>
    <x v="17"/>
    <x v="0"/>
    <x v="7"/>
    <x v="0"/>
    <x v="3"/>
    <x v="0"/>
    <x v="158"/>
    <x v="3"/>
  </r>
  <r>
    <x v="367"/>
    <x v="74"/>
    <x v="76"/>
    <x v="0"/>
    <x v="13"/>
    <x v="45"/>
    <x v="22"/>
    <x v="0"/>
    <x v="7"/>
    <x v="0"/>
    <x v="3"/>
    <x v="0"/>
    <x v="66"/>
    <x v="3"/>
  </r>
  <r>
    <x v="368"/>
    <x v="8"/>
    <x v="8"/>
    <x v="3"/>
    <x v="8"/>
    <x v="8"/>
    <x v="0"/>
    <x v="1"/>
    <x v="3"/>
    <x v="2"/>
    <x v="2"/>
    <x v="0"/>
    <x v="8"/>
    <x v="3"/>
  </r>
  <r>
    <x v="369"/>
    <x v="8"/>
    <x v="8"/>
    <x v="5"/>
    <x v="11"/>
    <x v="10"/>
    <x v="6"/>
    <x v="1"/>
    <x v="3"/>
    <x v="2"/>
    <x v="2"/>
    <x v="0"/>
    <x v="11"/>
    <x v="3"/>
  </r>
  <r>
    <x v="370"/>
    <x v="166"/>
    <x v="172"/>
    <x v="1"/>
    <x v="13"/>
    <x v="33"/>
    <x v="21"/>
    <x v="0"/>
    <x v="7"/>
    <x v="0"/>
    <x v="3"/>
    <x v="0"/>
    <x v="42"/>
    <x v="3"/>
  </r>
  <r>
    <x v="371"/>
    <x v="152"/>
    <x v="173"/>
    <x v="3"/>
    <x v="60"/>
    <x v="42"/>
    <x v="0"/>
    <x v="0"/>
    <x v="8"/>
    <x v="0"/>
    <x v="3"/>
    <x v="0"/>
    <x v="50"/>
    <x v="3"/>
  </r>
  <r>
    <x v="372"/>
    <x v="11"/>
    <x v="11"/>
    <x v="6"/>
    <x v="12"/>
    <x v="11"/>
    <x v="3"/>
    <x v="1"/>
    <x v="5"/>
    <x v="2"/>
    <x v="2"/>
    <x v="0"/>
    <x v="12"/>
    <x v="3"/>
  </r>
  <r>
    <x v="373"/>
    <x v="3"/>
    <x v="3"/>
    <x v="2"/>
    <x v="3"/>
    <x v="3"/>
    <x v="3"/>
    <x v="1"/>
    <x v="1"/>
    <x v="2"/>
    <x v="2"/>
    <x v="0"/>
    <x v="3"/>
    <x v="3"/>
  </r>
  <r>
    <x v="374"/>
    <x v="167"/>
    <x v="174"/>
    <x v="65"/>
    <x v="91"/>
    <x v="44"/>
    <x v="2"/>
    <x v="0"/>
    <x v="6"/>
    <x v="2"/>
    <x v="55"/>
    <x v="0"/>
    <x v="45"/>
    <x v="3"/>
  </r>
  <r>
    <x v="375"/>
    <x v="126"/>
    <x v="128"/>
    <x v="54"/>
    <x v="79"/>
    <x v="61"/>
    <x v="9"/>
    <x v="1"/>
    <x v="7"/>
    <x v="0"/>
    <x v="59"/>
    <x v="0"/>
    <x v="123"/>
    <x v="3"/>
  </r>
  <r>
    <x v="376"/>
    <x v="168"/>
    <x v="175"/>
    <x v="11"/>
    <x v="60"/>
    <x v="29"/>
    <x v="7"/>
    <x v="0"/>
    <x v="8"/>
    <x v="0"/>
    <x v="71"/>
    <x v="0"/>
    <x v="160"/>
    <x v="3"/>
  </r>
  <r>
    <x v="377"/>
    <x v="148"/>
    <x v="151"/>
    <x v="1"/>
    <x v="13"/>
    <x v="33"/>
    <x v="3"/>
    <x v="0"/>
    <x v="7"/>
    <x v="0"/>
    <x v="3"/>
    <x v="0"/>
    <x v="42"/>
    <x v="3"/>
  </r>
  <r>
    <x v="378"/>
    <x v="3"/>
    <x v="3"/>
    <x v="2"/>
    <x v="3"/>
    <x v="3"/>
    <x v="3"/>
    <x v="1"/>
    <x v="1"/>
    <x v="2"/>
    <x v="2"/>
    <x v="0"/>
    <x v="3"/>
    <x v="3"/>
  </r>
  <r>
    <x v="379"/>
    <x v="8"/>
    <x v="8"/>
    <x v="3"/>
    <x v="17"/>
    <x v="17"/>
    <x v="3"/>
    <x v="1"/>
    <x v="3"/>
    <x v="2"/>
    <x v="2"/>
    <x v="0"/>
    <x v="18"/>
    <x v="3"/>
  </r>
  <r>
    <x v="380"/>
    <x v="169"/>
    <x v="176"/>
    <x v="66"/>
    <x v="9"/>
    <x v="15"/>
    <x v="21"/>
    <x v="1"/>
    <x v="7"/>
    <x v="0"/>
    <x v="41"/>
    <x v="0"/>
    <x v="161"/>
    <x v="3"/>
  </r>
  <r>
    <x v="381"/>
    <x v="151"/>
    <x v="177"/>
    <x v="3"/>
    <x v="9"/>
    <x v="44"/>
    <x v="0"/>
    <x v="1"/>
    <x v="7"/>
    <x v="0"/>
    <x v="19"/>
    <x v="0"/>
    <x v="120"/>
    <x v="3"/>
  </r>
  <r>
    <x v="382"/>
    <x v="2"/>
    <x v="2"/>
    <x v="2"/>
    <x v="18"/>
    <x v="18"/>
    <x v="2"/>
    <x v="1"/>
    <x v="1"/>
    <x v="2"/>
    <x v="2"/>
    <x v="0"/>
    <x v="19"/>
    <x v="3"/>
  </r>
  <r>
    <x v="383"/>
    <x v="8"/>
    <x v="8"/>
    <x v="2"/>
    <x v="8"/>
    <x v="22"/>
    <x v="0"/>
    <x v="1"/>
    <x v="3"/>
    <x v="2"/>
    <x v="2"/>
    <x v="0"/>
    <x v="24"/>
    <x v="3"/>
  </r>
  <r>
    <x v="384"/>
    <x v="170"/>
    <x v="178"/>
    <x v="67"/>
    <x v="92"/>
    <x v="45"/>
    <x v="21"/>
    <x v="1"/>
    <x v="8"/>
    <x v="3"/>
    <x v="11"/>
    <x v="0"/>
    <x v="146"/>
    <x v="3"/>
  </r>
  <r>
    <x v="385"/>
    <x v="74"/>
    <x v="76"/>
    <x v="3"/>
    <x v="15"/>
    <x v="14"/>
    <x v="21"/>
    <x v="0"/>
    <x v="7"/>
    <x v="0"/>
    <x v="19"/>
    <x v="0"/>
    <x v="15"/>
    <x v="3"/>
  </r>
  <r>
    <x v="386"/>
    <x v="171"/>
    <x v="179"/>
    <x v="68"/>
    <x v="77"/>
    <x v="14"/>
    <x v="0"/>
    <x v="1"/>
    <x v="7"/>
    <x v="3"/>
    <x v="72"/>
    <x v="0"/>
    <x v="162"/>
    <x v="3"/>
  </r>
  <r>
    <x v="387"/>
    <x v="172"/>
    <x v="180"/>
    <x v="11"/>
    <x v="48"/>
    <x v="39"/>
    <x v="7"/>
    <x v="1"/>
    <x v="7"/>
    <x v="0"/>
    <x v="18"/>
    <x v="0"/>
    <x v="163"/>
    <x v="3"/>
  </r>
  <r>
    <x v="388"/>
    <x v="8"/>
    <x v="8"/>
    <x v="3"/>
    <x v="22"/>
    <x v="2"/>
    <x v="10"/>
    <x v="1"/>
    <x v="3"/>
    <x v="2"/>
    <x v="2"/>
    <x v="0"/>
    <x v="25"/>
    <x v="3"/>
  </r>
  <r>
    <x v="389"/>
    <x v="8"/>
    <x v="8"/>
    <x v="3"/>
    <x v="8"/>
    <x v="8"/>
    <x v="0"/>
    <x v="1"/>
    <x v="3"/>
    <x v="2"/>
    <x v="2"/>
    <x v="0"/>
    <x v="8"/>
    <x v="3"/>
  </r>
  <r>
    <x v="390"/>
    <x v="162"/>
    <x v="167"/>
    <x v="69"/>
    <x v="14"/>
    <x v="13"/>
    <x v="7"/>
    <x v="0"/>
    <x v="8"/>
    <x v="2"/>
    <x v="3"/>
    <x v="0"/>
    <x v="164"/>
    <x v="3"/>
  </r>
  <r>
    <x v="391"/>
    <x v="29"/>
    <x v="30"/>
    <x v="3"/>
    <x v="36"/>
    <x v="14"/>
    <x v="15"/>
    <x v="0"/>
    <x v="2"/>
    <x v="0"/>
    <x v="6"/>
    <x v="0"/>
    <x v="41"/>
    <x v="3"/>
  </r>
  <r>
    <x v="392"/>
    <x v="121"/>
    <x v="123"/>
    <x v="30"/>
    <x v="77"/>
    <x v="14"/>
    <x v="0"/>
    <x v="1"/>
    <x v="8"/>
    <x v="3"/>
    <x v="56"/>
    <x v="0"/>
    <x v="118"/>
    <x v="3"/>
  </r>
  <r>
    <x v="393"/>
    <x v="173"/>
    <x v="181"/>
    <x v="3"/>
    <x v="57"/>
    <x v="44"/>
    <x v="25"/>
    <x v="1"/>
    <x v="8"/>
    <x v="3"/>
    <x v="0"/>
    <x v="0"/>
    <x v="97"/>
    <x v="3"/>
  </r>
  <r>
    <x v="394"/>
    <x v="2"/>
    <x v="2"/>
    <x v="13"/>
    <x v="8"/>
    <x v="24"/>
    <x v="2"/>
    <x v="1"/>
    <x v="1"/>
    <x v="2"/>
    <x v="2"/>
    <x v="0"/>
    <x v="27"/>
    <x v="3"/>
  </r>
  <r>
    <x v="395"/>
    <x v="64"/>
    <x v="66"/>
    <x v="3"/>
    <x v="9"/>
    <x v="44"/>
    <x v="7"/>
    <x v="0"/>
    <x v="7"/>
    <x v="0"/>
    <x v="43"/>
    <x v="0"/>
    <x v="120"/>
    <x v="3"/>
  </r>
  <r>
    <x v="396"/>
    <x v="158"/>
    <x v="163"/>
    <x v="15"/>
    <x v="15"/>
    <x v="35"/>
    <x v="9"/>
    <x v="1"/>
    <x v="7"/>
    <x v="1"/>
    <x v="11"/>
    <x v="0"/>
    <x v="165"/>
    <x v="3"/>
  </r>
  <r>
    <x v="397"/>
    <x v="174"/>
    <x v="182"/>
    <x v="3"/>
    <x v="45"/>
    <x v="5"/>
    <x v="9"/>
    <x v="1"/>
    <x v="5"/>
    <x v="3"/>
    <x v="73"/>
    <x v="0"/>
    <x v="166"/>
    <x v="3"/>
  </r>
  <r>
    <x v="398"/>
    <x v="8"/>
    <x v="8"/>
    <x v="12"/>
    <x v="27"/>
    <x v="27"/>
    <x v="12"/>
    <x v="1"/>
    <x v="3"/>
    <x v="2"/>
    <x v="2"/>
    <x v="0"/>
    <x v="31"/>
    <x v="3"/>
  </r>
  <r>
    <x v="399"/>
    <x v="8"/>
    <x v="23"/>
    <x v="15"/>
    <x v="28"/>
    <x v="28"/>
    <x v="0"/>
    <x v="1"/>
    <x v="3"/>
    <x v="2"/>
    <x v="2"/>
    <x v="0"/>
    <x v="32"/>
    <x v="3"/>
  </r>
  <r>
    <x v="400"/>
    <x v="13"/>
    <x v="13"/>
    <x v="1"/>
    <x v="13"/>
    <x v="33"/>
    <x v="9"/>
    <x v="0"/>
    <x v="2"/>
    <x v="0"/>
    <x v="19"/>
    <x v="0"/>
    <x v="42"/>
    <x v="3"/>
  </r>
  <r>
    <x v="401"/>
    <x v="116"/>
    <x v="118"/>
    <x v="0"/>
    <x v="43"/>
    <x v="42"/>
    <x v="6"/>
    <x v="1"/>
    <x v="7"/>
    <x v="1"/>
    <x v="0"/>
    <x v="0"/>
    <x v="114"/>
    <x v="3"/>
  </r>
  <r>
    <x v="402"/>
    <x v="3"/>
    <x v="3"/>
    <x v="2"/>
    <x v="3"/>
    <x v="3"/>
    <x v="3"/>
    <x v="1"/>
    <x v="1"/>
    <x v="2"/>
    <x v="2"/>
    <x v="0"/>
    <x v="3"/>
    <x v="3"/>
  </r>
  <r>
    <x v="403"/>
    <x v="2"/>
    <x v="2"/>
    <x v="2"/>
    <x v="2"/>
    <x v="2"/>
    <x v="2"/>
    <x v="1"/>
    <x v="1"/>
    <x v="2"/>
    <x v="2"/>
    <x v="0"/>
    <x v="2"/>
    <x v="3"/>
  </r>
  <r>
    <x v="404"/>
    <x v="148"/>
    <x v="151"/>
    <x v="1"/>
    <x v="13"/>
    <x v="33"/>
    <x v="17"/>
    <x v="0"/>
    <x v="7"/>
    <x v="0"/>
    <x v="3"/>
    <x v="0"/>
    <x v="42"/>
    <x v="3"/>
  </r>
  <r>
    <x v="405"/>
    <x v="112"/>
    <x v="114"/>
    <x v="30"/>
    <x v="75"/>
    <x v="20"/>
    <x v="0"/>
    <x v="1"/>
    <x v="7"/>
    <x v="3"/>
    <x v="54"/>
    <x v="0"/>
    <x v="113"/>
    <x v="3"/>
  </r>
  <r>
    <x v="406"/>
    <x v="161"/>
    <x v="171"/>
    <x v="0"/>
    <x v="10"/>
    <x v="35"/>
    <x v="17"/>
    <x v="0"/>
    <x v="7"/>
    <x v="0"/>
    <x v="3"/>
    <x v="0"/>
    <x v="158"/>
    <x v="3"/>
  </r>
  <r>
    <x v="407"/>
    <x v="74"/>
    <x v="76"/>
    <x v="0"/>
    <x v="13"/>
    <x v="45"/>
    <x v="22"/>
    <x v="0"/>
    <x v="7"/>
    <x v="0"/>
    <x v="3"/>
    <x v="0"/>
    <x v="66"/>
    <x v="3"/>
  </r>
  <r>
    <x v="408"/>
    <x v="8"/>
    <x v="8"/>
    <x v="3"/>
    <x v="8"/>
    <x v="8"/>
    <x v="0"/>
    <x v="1"/>
    <x v="3"/>
    <x v="2"/>
    <x v="2"/>
    <x v="0"/>
    <x v="8"/>
    <x v="3"/>
  </r>
  <r>
    <x v="409"/>
    <x v="8"/>
    <x v="8"/>
    <x v="5"/>
    <x v="11"/>
    <x v="10"/>
    <x v="6"/>
    <x v="1"/>
    <x v="3"/>
    <x v="2"/>
    <x v="2"/>
    <x v="0"/>
    <x v="11"/>
    <x v="3"/>
  </r>
  <r>
    <x v="410"/>
    <x v="166"/>
    <x v="172"/>
    <x v="1"/>
    <x v="13"/>
    <x v="33"/>
    <x v="21"/>
    <x v="0"/>
    <x v="7"/>
    <x v="0"/>
    <x v="3"/>
    <x v="0"/>
    <x v="42"/>
    <x v="3"/>
  </r>
  <r>
    <x v="411"/>
    <x v="124"/>
    <x v="126"/>
    <x v="40"/>
    <x v="78"/>
    <x v="4"/>
    <x v="0"/>
    <x v="0"/>
    <x v="4"/>
    <x v="3"/>
    <x v="58"/>
    <x v="0"/>
    <x v="121"/>
    <x v="3"/>
  </r>
  <r>
    <x v="412"/>
    <x v="11"/>
    <x v="11"/>
    <x v="6"/>
    <x v="12"/>
    <x v="11"/>
    <x v="3"/>
    <x v="1"/>
    <x v="5"/>
    <x v="2"/>
    <x v="2"/>
    <x v="0"/>
    <x v="12"/>
    <x v="3"/>
  </r>
  <r>
    <x v="413"/>
    <x v="3"/>
    <x v="3"/>
    <x v="2"/>
    <x v="3"/>
    <x v="3"/>
    <x v="3"/>
    <x v="1"/>
    <x v="1"/>
    <x v="2"/>
    <x v="2"/>
    <x v="0"/>
    <x v="3"/>
    <x v="3"/>
  </r>
  <r>
    <x v="414"/>
    <x v="167"/>
    <x v="174"/>
    <x v="65"/>
    <x v="91"/>
    <x v="44"/>
    <x v="2"/>
    <x v="0"/>
    <x v="6"/>
    <x v="2"/>
    <x v="55"/>
    <x v="0"/>
    <x v="45"/>
    <x v="3"/>
  </r>
  <r>
    <x v="415"/>
    <x v="126"/>
    <x v="128"/>
    <x v="54"/>
    <x v="79"/>
    <x v="61"/>
    <x v="9"/>
    <x v="1"/>
    <x v="7"/>
    <x v="0"/>
    <x v="59"/>
    <x v="0"/>
    <x v="123"/>
    <x v="3"/>
  </r>
  <r>
    <x v="416"/>
    <x v="168"/>
    <x v="175"/>
    <x v="11"/>
    <x v="60"/>
    <x v="29"/>
    <x v="7"/>
    <x v="0"/>
    <x v="8"/>
    <x v="0"/>
    <x v="71"/>
    <x v="0"/>
    <x v="160"/>
    <x v="4"/>
  </r>
  <r>
    <x v="417"/>
    <x v="148"/>
    <x v="151"/>
    <x v="1"/>
    <x v="13"/>
    <x v="33"/>
    <x v="3"/>
    <x v="0"/>
    <x v="7"/>
    <x v="0"/>
    <x v="3"/>
    <x v="0"/>
    <x v="42"/>
    <x v="4"/>
  </r>
  <r>
    <x v="418"/>
    <x v="3"/>
    <x v="3"/>
    <x v="2"/>
    <x v="3"/>
    <x v="3"/>
    <x v="3"/>
    <x v="1"/>
    <x v="1"/>
    <x v="2"/>
    <x v="2"/>
    <x v="0"/>
    <x v="3"/>
    <x v="4"/>
  </r>
  <r>
    <x v="419"/>
    <x v="8"/>
    <x v="8"/>
    <x v="3"/>
    <x v="17"/>
    <x v="17"/>
    <x v="3"/>
    <x v="1"/>
    <x v="3"/>
    <x v="2"/>
    <x v="2"/>
    <x v="0"/>
    <x v="18"/>
    <x v="4"/>
  </r>
  <r>
    <x v="420"/>
    <x v="169"/>
    <x v="176"/>
    <x v="66"/>
    <x v="9"/>
    <x v="15"/>
    <x v="21"/>
    <x v="1"/>
    <x v="7"/>
    <x v="0"/>
    <x v="41"/>
    <x v="0"/>
    <x v="161"/>
    <x v="4"/>
  </r>
  <r>
    <x v="421"/>
    <x v="151"/>
    <x v="177"/>
    <x v="3"/>
    <x v="9"/>
    <x v="44"/>
    <x v="0"/>
    <x v="1"/>
    <x v="7"/>
    <x v="0"/>
    <x v="19"/>
    <x v="0"/>
    <x v="120"/>
    <x v="5"/>
  </r>
  <r>
    <x v="422"/>
    <x v="2"/>
    <x v="2"/>
    <x v="2"/>
    <x v="18"/>
    <x v="18"/>
    <x v="2"/>
    <x v="1"/>
    <x v="1"/>
    <x v="2"/>
    <x v="2"/>
    <x v="0"/>
    <x v="19"/>
    <x v="5"/>
  </r>
  <r>
    <x v="423"/>
    <x v="8"/>
    <x v="8"/>
    <x v="2"/>
    <x v="8"/>
    <x v="22"/>
    <x v="0"/>
    <x v="1"/>
    <x v="3"/>
    <x v="2"/>
    <x v="2"/>
    <x v="0"/>
    <x v="24"/>
    <x v="5"/>
  </r>
  <r>
    <x v="424"/>
    <x v="170"/>
    <x v="178"/>
    <x v="67"/>
    <x v="92"/>
    <x v="45"/>
    <x v="21"/>
    <x v="1"/>
    <x v="8"/>
    <x v="3"/>
    <x v="11"/>
    <x v="0"/>
    <x v="146"/>
    <x v="5"/>
  </r>
  <r>
    <x v="425"/>
    <x v="74"/>
    <x v="76"/>
    <x v="3"/>
    <x v="15"/>
    <x v="14"/>
    <x v="21"/>
    <x v="0"/>
    <x v="7"/>
    <x v="0"/>
    <x v="19"/>
    <x v="0"/>
    <x v="15"/>
    <x v="5"/>
  </r>
  <r>
    <x v="426"/>
    <x v="171"/>
    <x v="179"/>
    <x v="68"/>
    <x v="77"/>
    <x v="14"/>
    <x v="0"/>
    <x v="1"/>
    <x v="7"/>
    <x v="3"/>
    <x v="72"/>
    <x v="0"/>
    <x v="162"/>
    <x v="5"/>
  </r>
  <r>
    <x v="427"/>
    <x v="172"/>
    <x v="180"/>
    <x v="11"/>
    <x v="48"/>
    <x v="39"/>
    <x v="7"/>
    <x v="1"/>
    <x v="7"/>
    <x v="0"/>
    <x v="18"/>
    <x v="0"/>
    <x v="163"/>
    <x v="5"/>
  </r>
  <r>
    <x v="428"/>
    <x v="8"/>
    <x v="8"/>
    <x v="3"/>
    <x v="22"/>
    <x v="2"/>
    <x v="10"/>
    <x v="1"/>
    <x v="3"/>
    <x v="2"/>
    <x v="2"/>
    <x v="0"/>
    <x v="25"/>
    <x v="6"/>
  </r>
  <r>
    <x v="429"/>
    <x v="8"/>
    <x v="8"/>
    <x v="3"/>
    <x v="8"/>
    <x v="8"/>
    <x v="0"/>
    <x v="1"/>
    <x v="3"/>
    <x v="2"/>
    <x v="2"/>
    <x v="0"/>
    <x v="8"/>
    <x v="6"/>
  </r>
  <r>
    <x v="430"/>
    <x v="162"/>
    <x v="167"/>
    <x v="69"/>
    <x v="14"/>
    <x v="13"/>
    <x v="7"/>
    <x v="0"/>
    <x v="8"/>
    <x v="2"/>
    <x v="3"/>
    <x v="0"/>
    <x v="164"/>
    <x v="6"/>
  </r>
  <r>
    <x v="431"/>
    <x v="29"/>
    <x v="30"/>
    <x v="3"/>
    <x v="36"/>
    <x v="14"/>
    <x v="15"/>
    <x v="0"/>
    <x v="2"/>
    <x v="0"/>
    <x v="6"/>
    <x v="0"/>
    <x v="41"/>
    <x v="6"/>
  </r>
  <r>
    <x v="432"/>
    <x v="121"/>
    <x v="123"/>
    <x v="30"/>
    <x v="77"/>
    <x v="14"/>
    <x v="0"/>
    <x v="1"/>
    <x v="8"/>
    <x v="3"/>
    <x v="56"/>
    <x v="0"/>
    <x v="118"/>
    <x v="6"/>
  </r>
  <r>
    <x v="433"/>
    <x v="173"/>
    <x v="181"/>
    <x v="3"/>
    <x v="57"/>
    <x v="44"/>
    <x v="25"/>
    <x v="1"/>
    <x v="8"/>
    <x v="3"/>
    <x v="0"/>
    <x v="0"/>
    <x v="97"/>
    <x v="6"/>
  </r>
  <r>
    <x v="434"/>
    <x v="2"/>
    <x v="2"/>
    <x v="13"/>
    <x v="8"/>
    <x v="24"/>
    <x v="2"/>
    <x v="1"/>
    <x v="1"/>
    <x v="2"/>
    <x v="2"/>
    <x v="0"/>
    <x v="27"/>
    <x v="6"/>
  </r>
  <r>
    <x v="435"/>
    <x v="64"/>
    <x v="66"/>
    <x v="3"/>
    <x v="9"/>
    <x v="44"/>
    <x v="7"/>
    <x v="0"/>
    <x v="7"/>
    <x v="0"/>
    <x v="43"/>
    <x v="0"/>
    <x v="120"/>
    <x v="6"/>
  </r>
  <r>
    <x v="436"/>
    <x v="158"/>
    <x v="163"/>
    <x v="15"/>
    <x v="15"/>
    <x v="35"/>
    <x v="9"/>
    <x v="1"/>
    <x v="7"/>
    <x v="1"/>
    <x v="11"/>
    <x v="0"/>
    <x v="165"/>
    <x v="7"/>
  </r>
  <r>
    <x v="437"/>
    <x v="174"/>
    <x v="182"/>
    <x v="3"/>
    <x v="45"/>
    <x v="5"/>
    <x v="9"/>
    <x v="1"/>
    <x v="5"/>
    <x v="3"/>
    <x v="73"/>
    <x v="0"/>
    <x v="166"/>
    <x v="7"/>
  </r>
  <r>
    <x v="438"/>
    <x v="8"/>
    <x v="8"/>
    <x v="12"/>
    <x v="27"/>
    <x v="27"/>
    <x v="12"/>
    <x v="1"/>
    <x v="3"/>
    <x v="2"/>
    <x v="2"/>
    <x v="0"/>
    <x v="31"/>
    <x v="8"/>
  </r>
  <r>
    <x v="439"/>
    <x v="8"/>
    <x v="23"/>
    <x v="15"/>
    <x v="28"/>
    <x v="28"/>
    <x v="0"/>
    <x v="1"/>
    <x v="3"/>
    <x v="2"/>
    <x v="2"/>
    <x v="0"/>
    <x v="32"/>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
  <r>
    <s v="1754309573-1"/>
    <s v="Oxygreenplant Areca Palm"/>
    <s v="Oxygreenplant Areca Palm  (Hybrid, Pack of 1)"/>
    <n v="399"/>
    <n v="199"/>
    <n v="0.5"/>
    <n v="4"/>
    <s v="Medium"/>
    <s v=" Bonsai"/>
    <s v=" Outdoor"/>
    <s v="OXYGREENPLANT"/>
    <s v="No Returns Allowed?"/>
    <n v="598"/>
    <n v="0.9"/>
    <x v="0"/>
  </r>
  <r>
    <s v="1754309576-2"/>
    <s v="Bijaya Online Store Areca Palm"/>
    <s v="Bijaya Online Store Areca Palm  (Hybrid, Pack of 2)"/>
    <n v="299"/>
    <n v="171"/>
    <n v="0.42"/>
    <n v="1.3"/>
    <s v="Small"/>
    <s v=" Bonsai"/>
    <s v="indoor \outdoor"/>
    <s v="NELSONnurseryPLANT"/>
    <s v="No Returns Allowed?"/>
    <n v="470"/>
    <n v="0.9"/>
    <x v="1"/>
  </r>
  <r>
    <s v="1754309578-3"/>
    <s v="UGAOO Variegated Money Plant"/>
    <s v="UGAOO Variegated Money Plant  (Pack of 1)"/>
    <n v="449"/>
    <n v="384"/>
    <n v="0.14000000000000001"/>
    <n v="4.4000000000000004"/>
    <s v="Small"/>
    <s v=" Shrub"/>
    <s v=" Indoor"/>
    <s v="UGAOO"/>
    <s v="No Returns Allowed?"/>
    <n v="833"/>
    <n v="0.9"/>
    <x v="0"/>
  </r>
  <r>
    <s v="1754309581-4"/>
    <s v="UGAOO Golden Money Plant"/>
    <s v="UGAOO Golden Money Plant  (Pack of 1)"/>
    <n v="449"/>
    <n v="349"/>
    <n v="0.22"/>
    <n v="4.3"/>
    <s v="Small"/>
    <s v=" Shrub"/>
    <s v=" Indoor"/>
    <s v="UGAOO"/>
    <s v="No Returns Allowed?"/>
    <n v="798"/>
    <n v="0.9"/>
    <x v="0"/>
  </r>
  <r>
    <s v="1754309584-5"/>
    <s v="PLANTTOOZS Clove Plant"/>
    <s v="PLANTTOOZS Clove Plant  (Hybrid, Pack of 1)"/>
    <n v="499"/>
    <n v="150"/>
    <n v="0.69"/>
    <n v="4"/>
    <s v="Medium"/>
    <s v=" Herb"/>
    <s v=" Outdoor"/>
    <s v="AlaiStore"/>
    <s v="No Returns Allowed?"/>
    <n v="649"/>
    <n v="0.9"/>
    <x v="0"/>
  </r>
  <r>
    <s v="1754309586-6"/>
    <s v="K,M.GREEN Areca Palm"/>
    <s v="K,M.GREEN Areca Palm  (Hybrid, Pack of 1)"/>
    <n v="499"/>
    <n v="169"/>
    <n v="0.66"/>
    <n v="3"/>
    <s v="Small"/>
    <s v=" Herb"/>
    <s v="indoor \outdoor"/>
    <s v="MeeraTaders"/>
    <s v="No Returns Allowed?"/>
    <n v="668"/>
    <n v="0.9"/>
    <x v="1"/>
  </r>
  <r>
    <s v="1754309589-7"/>
    <s v="ABEFARIYA ZZ Plant"/>
    <s v="ABEFARIYA ZZ Plant  (Hybrid, Pack of 1)"/>
    <n v="1500"/>
    <n v="250"/>
    <n v="0.83"/>
    <n v="4"/>
    <s v="Small"/>
    <s v=" Shrub"/>
    <s v="indoor \outdoor"/>
    <s v="ABEFARIYA"/>
    <s v="No Returns Allowed?"/>
    <n v="1750"/>
    <n v="0.9"/>
    <x v="1"/>
  </r>
  <r>
    <s v="1754309591-8"/>
    <s v="EliteGreen Clove Plant"/>
    <s v="EliteGreen Clove Plant  (Hybrid, Pack of 1)"/>
    <n v="299"/>
    <n v="153"/>
    <n v="0.48"/>
    <n v="2.5"/>
    <s v="Small"/>
    <s v=" Herb"/>
    <s v=" Outdoor"/>
    <s v="AlaiStore"/>
    <s v="No Returns Allowed?"/>
    <n v="452"/>
    <n v="0.9"/>
    <x v="0"/>
  </r>
  <r>
    <s v="1754309594-9"/>
    <s v="UGAOO Variegated Money Plant"/>
    <s v="UGAOO Variegated Money Plant  (Pack of 1)"/>
    <n v="449"/>
    <n v="384"/>
    <n v="0.14000000000000001"/>
    <n v="4.4000000000000004"/>
    <s v="Small"/>
    <s v=" Shrub"/>
    <s v=" Indoor"/>
    <s v="UGAOO"/>
    <s v="No Returns Allowed?"/>
    <n v="833"/>
    <n v="0.9"/>
    <x v="0"/>
  </r>
  <r>
    <s v="1754309596-10"/>
    <s v="UGAOO Jade Plant"/>
    <s v="UGAOO Jade Plant  (Hybrid, Pack of 1)"/>
    <n v="499"/>
    <n v="335"/>
    <n v="0.32"/>
    <n v="4"/>
    <s v="Small"/>
    <s v=" Succulent"/>
    <s v=" Indoor"/>
    <s v="UGAOO"/>
    <s v="No Returns Allowed?"/>
    <n v="834"/>
    <n v="0.9"/>
    <x v="0"/>
  </r>
  <r>
    <s v="1754309599-11"/>
    <s v="Cloud Farm Dracaena Plant"/>
    <s v="Cloud Farm Dracaena Plant  (Hybrid, Pack of 1)"/>
    <n v="399"/>
    <n v="135"/>
    <n v="0.66"/>
    <n v="4"/>
    <s v="Medium"/>
    <s v=" Shrub"/>
    <s v=" Outdoor"/>
    <s v="GreenyOn"/>
    <s v="No Returns Allowed?"/>
    <n v="534"/>
    <n v="0.9"/>
    <x v="0"/>
  </r>
  <r>
    <s v="1754309601-12"/>
    <s v="ABEFARIYA Areca Palm"/>
    <s v="ABEFARIYA Areca Palm  (Hybrid, Pack of 1)"/>
    <n v="1500"/>
    <n v="160"/>
    <n v="0.89"/>
    <n v="4"/>
    <s v="Small"/>
    <s v=" Air purifier plant"/>
    <s v="indoor \outdoor"/>
    <s v="NELSONnurseryPLANT"/>
    <s v="No Returns Allowed?"/>
    <n v="1660"/>
    <n v="0.9"/>
    <x v="0"/>
  </r>
  <r>
    <s v="1754309604-13"/>
    <s v="UGAOO Jade Plant"/>
    <s v="UGAOO Jade Plant  (Hybrid, Pack of 1)"/>
    <n v="749"/>
    <n v="516"/>
    <n v="0.31"/>
    <n v="3.6"/>
    <s v="Small"/>
    <s v=" Succulent"/>
    <s v=" Indoor"/>
    <s v="UGAOO"/>
    <s v="No Returns Allowed?"/>
    <n v="1265"/>
    <n v="0.9"/>
    <x v="1"/>
  </r>
  <r>
    <s v="1754309606-14"/>
    <s v="UGAOO Njoy Money Plant"/>
    <s v="UGAOO Njoy Money Plant  (Hybrid, Pack of 1)"/>
    <n v="549"/>
    <n v="388"/>
    <n v="0.28999999999999998"/>
    <n v="4.3"/>
    <s v="Small"/>
    <s v=" Foliage"/>
    <s v=" Indoor"/>
    <s v="UGAOO"/>
    <s v="No Returns Allowed?"/>
    <n v="937"/>
    <n v="0.9"/>
    <x v="0"/>
  </r>
  <r>
    <s v="1754309609-15"/>
    <s v="ABEFARIYA Areca Palm"/>
    <s v="ABEFARIYA Areca Palm  (Hybrid, Pack of 1)"/>
    <n v="1300"/>
    <n v="145"/>
    <n v="0.88"/>
    <n v="4"/>
    <s v="Small"/>
    <s v=" Air purifier plant"/>
    <s v="indoor \outdoor"/>
    <s v="SAPLINGO"/>
    <s v="No Returns Allowed?"/>
    <n v="1445"/>
    <n v="0.9"/>
    <x v="1"/>
  </r>
  <r>
    <s v="1754309611-16"/>
    <s v="Mohomaya Areca Palm"/>
    <s v="Mohomaya Areca Palm  (Hybrid, Pack of 1)"/>
    <n v="399"/>
    <n v="179"/>
    <n v="0.55000000000000004"/>
    <n v="4"/>
    <s v="Small"/>
    <s v=" Bamboo"/>
    <s v="indoor \outdoor"/>
    <s v="MOHOMAYA"/>
    <s v="No Returns Allowed?"/>
    <n v="578"/>
    <n v="0.9"/>
    <x v="0"/>
  </r>
  <r>
    <s v="1754309614-17"/>
    <s v="Cloud Farm Clove Plant"/>
    <s v="Cloud Farm Clove Plant  (Hybrid, Pack of 1)"/>
    <n v="499"/>
    <n v="142"/>
    <n v="0.71"/>
    <n v="4"/>
    <s v="Medium"/>
    <s v=" Herb"/>
    <s v=" Outdoor"/>
    <s v="AlaiStore"/>
    <s v="No Returns Allowed?"/>
    <n v="641"/>
    <n v="0.9"/>
    <x v="0"/>
  </r>
  <r>
    <s v="1754309616-18"/>
    <s v="ALG Clove Plant"/>
    <s v="ALG Clove Plant  (Hybrid, Pack of 1)"/>
    <n v="565"/>
    <n v="135"/>
    <n v="0.76"/>
    <n v="3.4"/>
    <s v="Small"/>
    <s v=" Herb"/>
    <s v=" Outdoor"/>
    <s v="AlaiStore"/>
    <s v="No Returns Allowed?"/>
    <n v="700"/>
    <n v="0.9"/>
    <x v="0"/>
  </r>
  <r>
    <s v="1754309619-19"/>
    <s v="UGAOO Golden Money Plant"/>
    <s v="UGAOO Golden Money Plant  (Pack of 1)"/>
    <n v="449"/>
    <n v="349"/>
    <n v="0.22"/>
    <n v="4.3"/>
    <s v="Small"/>
    <s v=" Shrub"/>
    <s v=" Indoor"/>
    <s v="UGAOO"/>
    <s v="No Returns Allowed?"/>
    <n v="798"/>
    <n v="0.9"/>
    <x v="1"/>
  </r>
  <r>
    <s v="1754309621-20"/>
    <s v="UGAOO Golden Money Plant"/>
    <s v="UGAOO Golden Money Plant  (Pack of 1)"/>
    <n v="449"/>
    <n v="349"/>
    <n v="0.22"/>
    <n v="4.3"/>
    <s v="Small"/>
    <s v=" Shrub"/>
    <s v=" Indoor"/>
    <s v="UGAOO"/>
    <s v="No Returns Allowed?"/>
    <n v="798"/>
    <n v="0.9"/>
    <x v="0"/>
  </r>
  <r>
    <s v="1754309624-21"/>
    <s v="Oxygreenplant Clove Plant"/>
    <s v="Oxygreenplant Clove Plant  (Hybrid, Pack of 1)"/>
    <n v="367"/>
    <n v="264"/>
    <n v="0.28000000000000003"/>
    <n v="4"/>
    <s v="Medium"/>
    <s v=" Herb"/>
    <s v=" Outdoor"/>
    <s v="OXYGREENPLANT"/>
    <s v="No Returns Allowed?"/>
    <n v="631"/>
    <n v="0.9"/>
    <x v="0"/>
  </r>
  <r>
    <s v="1754309626-22"/>
    <s v="Cloud Farm Baugainvillea Plant"/>
    <s v="Cloud Farm Baugainvillea Plant  (Hybrid, Pack of 1)"/>
    <n v="399"/>
    <n v="135"/>
    <n v="0.66"/>
    <n v="4"/>
    <s v="Medium"/>
    <s v=" Fruit"/>
    <s v=" Outdoor"/>
    <s v="GreenyOn"/>
    <s v="No Returns Allowed?"/>
    <n v="534"/>
    <n v="0.9"/>
    <x v="1"/>
  </r>
  <r>
    <s v="1754309629-23"/>
    <s v="UGAOO Jade Plant"/>
    <s v="UGAOO Jade Plant  (Hybrid, Pack of 1)"/>
    <n v="499"/>
    <n v="424"/>
    <n v="0.15"/>
    <n v="4.3"/>
    <s v="Small"/>
    <s v=" Succulent"/>
    <s v=" Indoor"/>
    <s v="UGAOO"/>
    <s v="No Returns Allowed?"/>
    <n v="923"/>
    <n v="0.9"/>
    <x v="0"/>
  </r>
  <r>
    <s v="1754309631-24"/>
    <s v="UGAOO Variegated Money Plant"/>
    <s v="UGAOO Variegated Money Plant  (Pack of 1)"/>
    <n v="449"/>
    <n v="359"/>
    <n v="0.2"/>
    <n v="4.4000000000000004"/>
    <s v="Small"/>
    <s v=" Shrub"/>
    <s v=" Indoor"/>
    <s v="UGAOO"/>
    <s v="No Returns Allowed?"/>
    <n v="808"/>
    <n v="0.9"/>
    <x v="0"/>
  </r>
  <r>
    <s v="1754309634-25"/>
    <s v="Bijaya Online Store Areca Palm"/>
    <s v="Bijaya Online Store Areca Palm  (Hybrid, Pack of 2)"/>
    <n v="316"/>
    <n v="196"/>
    <n v="0.37"/>
    <n v="2.8"/>
    <s v="Small"/>
    <s v=" Shrub"/>
    <s v="indoor \outdoor"/>
    <s v="SKYTCOM"/>
    <s v="No Returns Allowed?"/>
    <n v="512"/>
    <n v="0.9"/>
    <x v="1"/>
  </r>
  <r>
    <s v="1754309636-26"/>
    <s v="ABEFARIYA Clove Plant"/>
    <s v="ABEFARIYA Clove Plant  (Hybrid, Pack of 1)"/>
    <n v="599"/>
    <n v="134"/>
    <n v="0.77"/>
    <n v="3.5"/>
    <s v="Small"/>
    <s v=" Herb"/>
    <s v=" Outdoor"/>
    <s v="AlaiStore"/>
    <s v="No Returns Allowed?"/>
    <n v="733"/>
    <n v="0.9"/>
    <x v="0"/>
  </r>
  <r>
    <s v="1754309638-27"/>
    <s v="ABEFARIYA Areca Palm"/>
    <s v="ABEFARIYA Areca Palm  (Hybrid, Pack of 1)"/>
    <n v="1300"/>
    <n v="169"/>
    <n v="0.87"/>
    <n v="4"/>
    <s v="Small"/>
    <s v=" Air purifier plant"/>
    <s v="indoor \outdoor"/>
    <s v="Storynursery"/>
    <s v="No Returns Allowed?"/>
    <n v="1469"/>
    <n v="0.9"/>
    <x v="1"/>
  </r>
  <r>
    <s v="1754309641-28"/>
    <s v="AloGardening Rubber Tree"/>
    <s v="AloGardening Rubber Tree  (Hybrid, Pack of 1)"/>
    <n v="449"/>
    <n v="233"/>
    <n v="0.48"/>
    <n v="4"/>
    <s v="Small"/>
    <s v=" Foliage"/>
    <s v=" Indoor, Outdoor"/>
    <s v="RoyANDRoyTraders"/>
    <s v="No Returns Allowed?"/>
    <n v="682"/>
    <n v="0.9"/>
    <x v="1"/>
  </r>
  <r>
    <s v="1754309643-29"/>
    <s v="UGAOO Jade Plant"/>
    <s v="UGAOO Jade Plant  (Hybrid, Pack of 1)"/>
    <n v="449"/>
    <n v="335"/>
    <n v="0.25"/>
    <n v="4"/>
    <s v="Small"/>
    <s v=" Succulent"/>
    <s v=" Indoor"/>
    <s v="UGAOO"/>
    <s v="No Returns Allowed?"/>
    <n v="784"/>
    <n v="0.9"/>
    <x v="1"/>
  </r>
  <r>
    <s v="1754309646-30"/>
    <s v="UGAOO Jade Plant"/>
    <s v="UGAOO Jade Plant  (Hybrid, Pack of 1)"/>
    <n v="499"/>
    <n v="426"/>
    <n v="0.14000000000000001"/>
    <n v="4.2"/>
    <s v="Small"/>
    <s v=" Succulent"/>
    <s v=" Indoor"/>
    <s v="UGAOO"/>
    <s v="No Returns Allowed?"/>
    <n v="925"/>
    <n v="0.9"/>
    <x v="0"/>
  </r>
  <r>
    <s v="1754309648-31"/>
    <s v="areca palm Areca Palm"/>
    <s v="areca palm Areca Palm  (Hybrid, Pack of 1)"/>
    <n v="495"/>
    <n v="155"/>
    <n v="0.68"/>
    <n v="4"/>
    <s v="Small"/>
    <s v=" Bamboo"/>
    <s v="indoor \outdoor"/>
    <s v="CuteLittleTrees"/>
    <s v="No Returns Allowed?"/>
    <n v="650"/>
    <n v="0.9"/>
    <x v="0"/>
  </r>
  <r>
    <s v="1754309651-32"/>
    <s v="ABEFARIYA ZZ Plant"/>
    <s v="ABEFARIYA ZZ Plant  (Hybrid, Pack of 1)"/>
    <n v="1500"/>
    <n v="250"/>
    <n v="0.83"/>
    <n v="4"/>
    <s v="Small"/>
    <s v=" Shrub"/>
    <s v="indoor \outdoor"/>
    <s v="ABEFARIYA"/>
    <s v="No Returns Allowed?"/>
    <n v="1750"/>
    <n v="0.9"/>
    <x v="0"/>
  </r>
  <r>
    <s v="1754309653-33"/>
    <s v="UGAOO Jade Plant"/>
    <s v="UGAOO Jade Plant  (Hybrid, Pack of 1)"/>
    <n v="499"/>
    <n v="335"/>
    <n v="0.32"/>
    <n v="4"/>
    <s v="Small"/>
    <s v=" Succulent"/>
    <s v=" Indoor"/>
    <s v="UGAOO"/>
    <s v="No Returns Allowed?"/>
    <n v="834"/>
    <n v="0.9"/>
    <x v="0"/>
  </r>
  <r>
    <s v="1754309656-34"/>
    <s v="UGAOO Variegated Money Plant"/>
    <s v="UGAOO Variegated Money Plant  (Pack of 1)"/>
    <n v="445"/>
    <n v="335"/>
    <n v="0.24"/>
    <n v="4.4000000000000004"/>
    <s v="Small"/>
    <s v=" Shrub"/>
    <s v=" Indoor"/>
    <s v="UGAOO"/>
    <s v="No Returns Allowed?"/>
    <n v="780"/>
    <n v="0.9"/>
    <x v="0"/>
  </r>
  <r>
    <s v="1754309658-35"/>
    <s v="ABEFARIYA Areca Palm"/>
    <s v="ABEFARIYA Areca Palm  (Hybrid, Pack of 1)"/>
    <n v="1300"/>
    <n v="137"/>
    <n v="0.89"/>
    <n v="2.4"/>
    <s v="Small"/>
    <s v=" Air purifier plant"/>
    <s v="indoor \outdoor"/>
    <s v="PSGARDEN"/>
    <s v="No Returns Allowed?"/>
    <n v="1437"/>
    <n v="0.9"/>
    <x v="1"/>
  </r>
  <r>
    <s v="1754309661-36"/>
    <s v="GreenyOn Clove Plant"/>
    <s v="GreenyOn Clove Plant  (Hybrid, Pack of 1)"/>
    <n v="399"/>
    <n v="135"/>
    <n v="0.66"/>
    <n v="4"/>
    <s v="Medium"/>
    <s v=" Herb"/>
    <s v=" Outdoor"/>
    <s v="Hadiqa"/>
    <s v="No Returns Allowed?"/>
    <n v="534"/>
    <n v="0.9"/>
    <x v="1"/>
  </r>
  <r>
    <s v="1754309663-37"/>
    <s v="GreensFord ZZ Plant"/>
    <s v="GreensFord ZZ Plant  (Hybrid, Pack of 1)"/>
    <n v="399"/>
    <n v="200"/>
    <n v="0.49"/>
    <n v="4"/>
    <s v="Small"/>
    <s v=" Herb"/>
    <s v="indoor \outdoor"/>
    <s v="Roofgardens"/>
    <s v="No Returns Allowed?"/>
    <n v="599"/>
    <n v="0.9"/>
    <x v="1"/>
  </r>
  <r>
    <s v="1754309666-38"/>
    <s v="Globalplants Areca Palm"/>
    <s v="Globalplants Areca Palm  (Hybrid, Pack of 1)"/>
    <n v="369"/>
    <n v="215"/>
    <n v="0.41"/>
    <n v="4"/>
    <s v="Small"/>
    <s v=" Succulent"/>
    <s v=" Indoor"/>
    <s v="ALOCHUZ"/>
    <s v="No Returns Allowed?"/>
    <n v="584"/>
    <n v="0.9"/>
    <x v="1"/>
  </r>
  <r>
    <s v="1754309668-39"/>
    <s v="UGAOO Jade Plant"/>
    <s v="UGAOO Jade Plant  (Hybrid, Pack of 1)"/>
    <n v="495"/>
    <n v="331"/>
    <n v="0.33"/>
    <n v="4.0999999999999996"/>
    <s v="Small"/>
    <s v=" Succulent"/>
    <s v=" Indoor"/>
    <s v="UGAOO"/>
    <s v="No Returns Allowed?"/>
    <n v="826"/>
    <n v="0.9"/>
    <x v="0"/>
  </r>
  <r>
    <s v="1754309671-40"/>
    <s v="UGAOO Jade Plant"/>
    <s v="UGAOO Jade Plant  (Pack of 1)"/>
    <n v="349"/>
    <n v="325"/>
    <n v="0.06"/>
    <n v="4"/>
    <s v="Small"/>
    <s v=" Succulent"/>
    <s v=" Indoor"/>
    <s v="UGAOO"/>
    <s v="No Returns Allowed?"/>
    <n v="674"/>
    <n v="0.9"/>
    <x v="1"/>
  </r>
  <r>
    <s v="1754309676-41"/>
    <s v="Cloud Farm Pistachio Plant"/>
    <s v="Cloud Farm Pistachio Plant  (Hybrid, Pack of 1)"/>
    <n v="499"/>
    <n v="145"/>
    <n v="0.7"/>
    <n v="4"/>
    <s v="Medium"/>
    <s v=" Fruit"/>
    <s v=" Outdoor"/>
    <s v="AlaiStore"/>
    <s v="No Returns Allowed?"/>
    <n v="644"/>
    <n v="0.9"/>
    <x v="1"/>
  </r>
  <r>
    <s v="1754309678-42"/>
    <s v="UGAOO Jade Plant, Variegated Money Plant, Golden Money ..."/>
    <s v="UGAOO Jade Plant, Variegated Money Plant, Golden Money Plant, Two Layer Bamboo Plant  (Pack of 4)"/>
    <n v="1999"/>
    <n v="1011"/>
    <n v="0.49"/>
    <n v="4.2"/>
    <s v="Small"/>
    <s v=" Air purifier plant"/>
    <s v=" Indoor"/>
    <s v="UGAOO"/>
    <s v="No Returns Allowed?"/>
    <n v="3010"/>
    <n v="0.9"/>
    <x v="0"/>
  </r>
  <r>
    <s v="1754309681-43"/>
    <s v="UGAOO Variegated Money Plant"/>
    <s v="UGAOO Variegated Money Plant  (Pack of 1)"/>
    <n v="449"/>
    <n v="384"/>
    <n v="0.14000000000000001"/>
    <n v="4.4000000000000004"/>
    <s v="Small"/>
    <s v=" Shrub"/>
    <s v=" Indoor"/>
    <s v="UGAOO"/>
    <s v="No Returns Allowed?"/>
    <n v="833"/>
    <n v="0.9"/>
    <x v="1"/>
  </r>
  <r>
    <s v="1754309684-44"/>
    <s v="UGAOO Golden Money Plant"/>
    <s v="UGAOO Golden Money Plant  (Pack of 1)"/>
    <n v="449"/>
    <n v="349"/>
    <n v="0.22"/>
    <n v="4.3"/>
    <s v="Small"/>
    <s v=" Shrub"/>
    <s v=" Indoor"/>
    <s v="UGAOO"/>
    <s v="No Returns Allowed?"/>
    <n v="798"/>
    <n v="0.9"/>
    <x v="1"/>
  </r>
  <r>
    <s v="1754309686-45"/>
    <s v="Oxygreenplant Anthurium Plant"/>
    <s v="Oxygreenplant Anthurium Plant  (Hybrid, Pack of 1)"/>
    <n v="351"/>
    <n v="198"/>
    <n v="0.43"/>
    <n v="4"/>
    <s v="Small"/>
    <s v=" Bonsai"/>
    <s v=" Indoor"/>
    <s v="OXYGREENPLANT"/>
    <s v="No Returns Allowed?"/>
    <n v="549"/>
    <n v="0.9"/>
    <x v="1"/>
  </r>
  <r>
    <s v="1754309689-46"/>
    <s v="sspykrts Ficus Bonsai"/>
    <s v="sspykrts Ficus Bonsai  (Hybrid, Pack of 1)"/>
    <n v="499"/>
    <n v="149"/>
    <n v="0.7"/>
    <n v="2.2000000000000002"/>
    <s v="Small"/>
    <s v=" Bonsai"/>
    <s v=" Indoor"/>
    <s v="AYUSHGREENNURSERY"/>
    <s v="No Returns Allowed?"/>
    <n v="648"/>
    <n v="0.9"/>
    <x v="1"/>
  </r>
  <r>
    <s v="1754309691-47"/>
    <s v="UGAOO Areca Palm"/>
    <s v="UGAOO Areca Palm  (Hybrid, Pack of 1)"/>
    <n v="799"/>
    <n v="454"/>
    <n v="0.43"/>
    <n v="4.2"/>
    <s v="Medium"/>
    <s v=" Bamboo"/>
    <s v=" Indoor"/>
    <s v="UGAOO"/>
    <s v="No Returns Allowed?"/>
    <n v="1253"/>
    <n v="0.9"/>
    <x v="1"/>
  </r>
  <r>
    <s v="1754309694-48"/>
    <s v="Bijaya Online Store Areca Palm"/>
    <s v="Bijaya Online Store Areca Palm  (Hybrid, Pack of 2)"/>
    <n v="299"/>
    <n v="188"/>
    <n v="0.37"/>
    <n v="1.7"/>
    <s v="Small"/>
    <s v=" Bonsai"/>
    <s v="indoor \outdoor"/>
    <s v="TheEntacloo"/>
    <s v="No Returns Allowed?"/>
    <n v="487"/>
    <n v="0.9"/>
    <x v="1"/>
  </r>
  <r>
    <s v="1754309696-49"/>
    <s v="UGAOO Variegated Money Plant"/>
    <s v="UGAOO Variegated Money Plant  (Pack of 1)"/>
    <n v="449"/>
    <n v="384"/>
    <n v="0.14000000000000001"/>
    <n v="4.4000000000000004"/>
    <s v="Small"/>
    <s v=" Shrub"/>
    <s v=" Indoor"/>
    <s v="UGAOO"/>
    <s v="No Returns Allowed?"/>
    <n v="833"/>
    <n v="0.9"/>
    <x v="0"/>
  </r>
  <r>
    <s v="1754309699-50"/>
    <s v="UGAOO Jade Plant"/>
    <s v="UGAOO Jade Plant  (Hybrid, Pack of 1)"/>
    <n v="499"/>
    <n v="335"/>
    <n v="0.32"/>
    <n v="4"/>
    <s v="Small"/>
    <s v=" Succulent"/>
    <s v=" Indoor"/>
    <s v="UGAOO"/>
    <s v="No Returns Allowed?"/>
    <n v="834"/>
    <n v="0.9"/>
    <x v="1"/>
  </r>
  <r>
    <s v="1754309701-51"/>
    <s v="ABEFARIYA Areca Palm, Areca Palm"/>
    <s v="ABEFARIYA Areca Palm, Areca Palm  (Hybrid, Pack of 1)"/>
    <n v="1482"/>
    <n v="149"/>
    <n v="0.89"/>
    <n v="4"/>
    <s v="Small"/>
    <s v=" Air purifier plant"/>
    <s v="indoor \outdoor"/>
    <s v="NELSONnurseryPLANT"/>
    <s v="No Returns Allowed?"/>
    <n v="1631"/>
    <n v="0.9"/>
    <x v="1"/>
  </r>
  <r>
    <s v="1754309704-52"/>
    <s v="Cloud Farm Clove Plant"/>
    <s v="Cloud Farm Clove Plant  (Hybrid, Pack of 1)"/>
    <n v="499"/>
    <n v="132"/>
    <n v="0.73"/>
    <n v="4"/>
    <s v="Medium"/>
    <s v=" Herb"/>
    <s v="indoor \outdoor"/>
    <s v="CloudFarming"/>
    <s v="No Returns Allowed?"/>
    <n v="631"/>
    <n v="0.9"/>
    <x v="0"/>
  </r>
  <r>
    <s v="1754309706-53"/>
    <s v="UGAOO Jade Plant"/>
    <s v="UGAOO Jade Plant  (Hybrid, Pack of 1)"/>
    <n v="749"/>
    <n v="516"/>
    <n v="0.31"/>
    <n v="3.6"/>
    <s v="Small"/>
    <s v=" Succulent"/>
    <s v=" Indoor"/>
    <s v="UGAOO"/>
    <s v="No Returns Allowed?"/>
    <n v="1265"/>
    <n v="0.9"/>
    <x v="1"/>
  </r>
  <r>
    <s v="1754309709-54"/>
    <s v="UGAOO Njoy Money Plant"/>
    <s v="UGAOO Njoy Money Plant  (Hybrid, Pack of 1)"/>
    <n v="549"/>
    <n v="388"/>
    <n v="0.28999999999999998"/>
    <n v="4.3"/>
    <s v="Small"/>
    <s v=" Foliage"/>
    <s v=" Indoor"/>
    <s v="UGAOO"/>
    <s v="No Returns Allowed?"/>
    <n v="937"/>
    <n v="0.9"/>
    <x v="1"/>
  </r>
  <r>
    <s v="1754309711-55"/>
    <s v="Oxygreenplant Areca Palm"/>
    <s v="Oxygreenplant Areca Palm  (Hybrid, Pack of 1)"/>
    <n v="398"/>
    <n v="216"/>
    <n v="0.45"/>
    <n v="4"/>
    <s v="Medium"/>
    <s v=" Herb"/>
    <s v=" Indoor, Outdoor"/>
    <s v="OXYGREENPLANT"/>
    <s v="No Returns Allowed?"/>
    <n v="614"/>
    <n v="0.9"/>
    <x v="1"/>
  </r>
  <r>
    <s v="1754309713-56"/>
    <s v="FSK Clove Plant"/>
    <s v="FSK Clove Plant  (Hybrid, Pack of 1)"/>
    <n v="499"/>
    <n v="144"/>
    <n v="0.71"/>
    <n v="2.6"/>
    <s v="Medium"/>
    <s v=" Herb"/>
    <s v=" Outdoor"/>
    <s v="GreenyOn"/>
    <s v="No Returns Allowed?"/>
    <n v="643"/>
    <n v="0.9"/>
    <x v="0"/>
  </r>
  <r>
    <s v="1754309716-57"/>
    <s v="Cloud Farm ZZ Plant"/>
    <s v="Cloud Farm ZZ Plant  (Hybrid, Pack of 1)"/>
    <n v="299"/>
    <n v="145"/>
    <n v="0.51"/>
    <n v="1.7"/>
    <s v="Small"/>
    <s v=" Bonsai"/>
    <s v=" Indoor, Outdoor"/>
    <s v="AlaiStore"/>
    <s v="No Returns Allowed?"/>
    <n v="444"/>
    <n v="0.9"/>
    <x v="1"/>
  </r>
  <r>
    <s v="1754309719-58"/>
    <s v="PB REBA PLANT Areca Plam"/>
    <s v="PB REBA PLANT Areca Plam  (Hybrid, Pack of 1)"/>
    <n v="399"/>
    <n v="165"/>
    <n v="0.57999999999999996"/>
    <n v="4"/>
    <s v="Medium"/>
    <s v=" Bamboo"/>
    <s v=" Indoor, Outdoor"/>
    <s v="UkandaGaarden"/>
    <s v="No Returns Allowed?"/>
    <n v="564"/>
    <n v="0.9"/>
    <x v="0"/>
  </r>
  <r>
    <s v="1754309721-59"/>
    <s v="UGAOO Golden Money Plant"/>
    <s v="UGAOO Golden Money Plant  (Pack of 1)"/>
    <n v="449"/>
    <n v="349"/>
    <n v="0.22"/>
    <n v="4.3"/>
    <s v="Small"/>
    <s v=" Shrub"/>
    <s v=" Indoor"/>
    <s v="UGAOO"/>
    <s v="No Returns Allowed?"/>
    <n v="798"/>
    <n v="0.9"/>
    <x v="0"/>
  </r>
  <r>
    <s v="1754309724-60"/>
    <s v="UGAOO Golden Money Plant"/>
    <s v="UGAOO Golden Money Plant  (Pack of 1)"/>
    <n v="449"/>
    <n v="349"/>
    <n v="0.22"/>
    <n v="4.3"/>
    <s v="Small"/>
    <s v=" Shrub"/>
    <s v=" Indoor"/>
    <s v="UGAOO"/>
    <s v="No Returns Allowed?"/>
    <n v="798"/>
    <n v="0.9"/>
    <x v="1"/>
  </r>
  <r>
    <s v="1754309726-61"/>
    <s v="Oxygreenplant ZZ Plant"/>
    <s v="Oxygreenplant ZZ Plant  (Hybrid, Pack of 1)"/>
    <n v="367"/>
    <n v="189"/>
    <n v="0.48"/>
    <n v="4"/>
    <s v="Medium"/>
    <s v=" Herb"/>
    <s v="indoor \outdoor"/>
    <s v="OXYGREENPLANT"/>
    <s v="No Returns Allowed?"/>
    <n v="556"/>
    <n v="0.9"/>
    <x v="1"/>
  </r>
  <r>
    <s v="1754309729-62"/>
    <s v="ABEFARIYA Areca Palm"/>
    <s v="ABEFARIYA Areca Palm  (Hybrid, Pack of 1)"/>
    <n v="1250"/>
    <n v="149"/>
    <n v="0.88"/>
    <n v="4"/>
    <s v="Small"/>
    <s v=" Air purifier plant"/>
    <s v="indoor \outdoor"/>
    <s v="MALLICKENTERPRISES0"/>
    <s v="No Returns Allowed?"/>
    <n v="1399"/>
    <n v="0.9"/>
    <x v="1"/>
  </r>
  <r>
    <s v="1754309731-63"/>
    <s v="UGAOO Jade Plant"/>
    <s v="UGAOO Jade Plant  (Hybrid, Pack of 1)"/>
    <n v="499"/>
    <n v="424"/>
    <n v="0.15"/>
    <n v="4.3"/>
    <s v="Small"/>
    <s v=" Succulent"/>
    <s v=" Indoor"/>
    <s v="UGAOO"/>
    <s v="No Returns Allowed?"/>
    <n v="923"/>
    <n v="0.9"/>
    <x v="1"/>
  </r>
  <r>
    <s v="1754309734-64"/>
    <s v="UGAOO Variegated Money Plant"/>
    <s v="UGAOO Variegated Money Plant  (Pack of 1)"/>
    <n v="449"/>
    <n v="359"/>
    <n v="0.2"/>
    <n v="4.4000000000000004"/>
    <s v="Small"/>
    <s v=" Shrub"/>
    <s v=" Indoor"/>
    <s v="UGAOO"/>
    <s v="No Returns Allowed?"/>
    <n v="808"/>
    <n v="0.9"/>
    <x v="1"/>
  </r>
  <r>
    <s v="1754309736-65"/>
    <s v="PB REBA PLANT Areca Plam"/>
    <s v="PB REBA PLANT Areca Plam  (Hybrid, Pack of 1)"/>
    <n v="299"/>
    <n v="149"/>
    <n v="0.5"/>
    <n v="4"/>
    <s v="Medium"/>
    <s v=" Bamboo"/>
    <s v=" Indoor, Outdoor"/>
    <s v="LituGarden"/>
    <s v="No Returns Allowed?"/>
    <n v="448"/>
    <n v="0.9"/>
    <x v="0"/>
  </r>
  <r>
    <s v="1754309739-66"/>
    <s v="NDS Areca Palm"/>
    <s v="NDS Areca Palm  (Hybrid, Pack of 1)"/>
    <n v="370"/>
    <n v="188"/>
    <n v="0.49"/>
    <n v="3"/>
    <s v="Small"/>
    <s v=" Foliage"/>
    <s v=" Indoor"/>
    <s v="RIMARDMISTU"/>
    <s v="No Returns Allowed?"/>
    <n v="558"/>
    <n v="0.9"/>
    <x v="0"/>
  </r>
  <r>
    <s v="1754309741-67"/>
    <s v="Cloud Farm Clove Plant"/>
    <s v="Cloud Farm Clove Plant  (Hybrid, Pack of 1)"/>
    <n v="399"/>
    <n v="135"/>
    <n v="0.66"/>
    <n v="4"/>
    <s v="Medium"/>
    <s v=" Herb"/>
    <s v="indoor \outdoor"/>
    <s v="GreenyOn"/>
    <s v="No Returns Allowed?"/>
    <n v="534"/>
    <n v="0.9"/>
    <x v="1"/>
  </r>
  <r>
    <s v="1754309743-68"/>
    <s v="FasonGreen Areca Palm"/>
    <s v="FasonGreen Areca Palm  (Hybrid, Pack of 1)"/>
    <n v="199"/>
    <n v="149"/>
    <n v="0.25"/>
    <n v="2.2000000000000002"/>
    <s v="Small"/>
    <s v=" Bonsai"/>
    <s v=" Outdoor"/>
    <s v="CuteLittleTrees"/>
    <s v="No Returns Allowed?"/>
    <n v="348"/>
    <n v="0.9"/>
    <x v="1"/>
  </r>
  <r>
    <s v="1754309746-69"/>
    <s v="UGAOO Jade Plant"/>
    <s v="UGAOO Jade Plant  (Hybrid, Pack of 1)"/>
    <n v="449"/>
    <n v="335"/>
    <n v="0.25"/>
    <n v="4"/>
    <s v="Small"/>
    <s v=" Succulent"/>
    <s v=" Indoor"/>
    <s v="UGAOO"/>
    <s v="No Returns Allowed?"/>
    <n v="784"/>
    <n v="0.9"/>
    <x v="0"/>
  </r>
  <r>
    <s v="1754309748-70"/>
    <s v="UGAOO Jade Plant"/>
    <s v="UGAOO Jade Plant  (Hybrid, Pack of 1)"/>
    <n v="499"/>
    <n v="426"/>
    <n v="0.14000000000000001"/>
    <n v="4.2"/>
    <s v="Small"/>
    <s v=" Succulent"/>
    <s v=" Indoor"/>
    <s v="UGAOO"/>
    <s v="No Returns Allowed?"/>
    <n v="925"/>
    <n v="0.9"/>
    <x v="0"/>
  </r>
  <r>
    <s v="1754309751-71"/>
    <s v="PLANTTOOZS China Palm Plant"/>
    <s v="PLANTTOOZS China Palm Plant  (Hybrid, Pack of 2)"/>
    <n v="499"/>
    <n v="200"/>
    <n v="0.59"/>
    <n v="4"/>
    <s v="Small"/>
    <s v=" Bamboo"/>
    <s v=" Indoor, Outdoor"/>
    <s v="Twinkleplanting"/>
    <s v="No Returns Allowed?"/>
    <n v="699"/>
    <n v="0.9"/>
    <x v="1"/>
  </r>
  <r>
    <s v="1754309753-72"/>
    <s v="pb mandira plant Areca Palm"/>
    <s v="pb mandira plant Areca Palm  (Hybrid, Pack of 175)"/>
    <n v="399"/>
    <n v="277"/>
    <n v="0.3"/>
    <n v="4"/>
    <s v="Medium"/>
    <s v=" Bamboo"/>
    <s v=" Indoor, Outdoor"/>
    <s v="PBMANDIRAPLANT"/>
    <s v="No Returns Allowed?"/>
    <n v="676"/>
    <n v="0.9"/>
    <x v="0"/>
  </r>
  <r>
    <s v="1754309756-73"/>
    <s v="UGAOO Jade Plant"/>
    <s v="UGAOO Jade Plant  (Hybrid, Pack of 1)"/>
    <n v="499"/>
    <n v="335"/>
    <n v="0.32"/>
    <n v="4"/>
    <s v="Small"/>
    <s v=" Succulent"/>
    <s v=" Indoor"/>
    <s v="UGAOO"/>
    <s v="No Returns Allowed?"/>
    <n v="834"/>
    <n v="0.9"/>
    <x v="1"/>
  </r>
  <r>
    <s v="1754309758-74"/>
    <s v="UGAOO Variegated Money Plant"/>
    <s v="UGAOO Variegated Money Plant  (Pack of 1)"/>
    <n v="445"/>
    <n v="335"/>
    <n v="0.24"/>
    <n v="4.4000000000000004"/>
    <s v="Small"/>
    <s v=" Shrub"/>
    <s v=" Indoor"/>
    <s v="UGAOO"/>
    <s v="No Returns Allowed?"/>
    <n v="780"/>
    <n v="0.9"/>
    <x v="0"/>
  </r>
  <r>
    <s v="1754309761-75"/>
    <s v="ABEFARIYA Areca Palm"/>
    <s v="ABEFARIYA Areca Palm  (Hybrid, Pack of 1)"/>
    <n v="1493"/>
    <n v="169"/>
    <n v="0.88"/>
    <n v="4"/>
    <s v="Small"/>
    <s v=" Air purifier plant"/>
    <s v="indoor \outdoor"/>
    <s v="NELSONnurseryPLANT"/>
    <s v="No Returns Allowed?"/>
    <n v="1662"/>
    <n v="0.9"/>
    <x v="0"/>
  </r>
  <r>
    <s v="1754309763-76"/>
    <s v="AloGardening Areca Palm"/>
    <s v="AloGardening Areca Palm  (Hybrid, Pack of 1)"/>
    <n v="399"/>
    <n v="207"/>
    <n v="0.48"/>
    <n v="4"/>
    <s v="Small"/>
    <s v=" Foliage"/>
    <s v="indoor \outdoor"/>
    <s v="RoyANDRoyTraders"/>
    <s v="No Returns Allowed?"/>
    <n v="606"/>
    <n v="0.9"/>
    <x v="0"/>
  </r>
  <r>
    <s v="1754309766-77"/>
    <s v="ABC Areca Palm"/>
    <s v="ABC Areca Palm  (Pack of 1)"/>
    <n v="300"/>
    <n v="149"/>
    <n v="0.5"/>
    <n v="1.8"/>
    <s v="Medium"/>
    <s v=" Bamboo"/>
    <s v="indoor \outdoor"/>
    <s v="NarumanamGarden"/>
    <s v="No Returns Allowed?"/>
    <n v="449"/>
    <n v="0.9"/>
    <x v="1"/>
  </r>
  <r>
    <s v="1754309768-78"/>
    <s v="pb mandira plant Areca Palm"/>
    <s v="pb mandira plant Areca Palm  (Hybrid, Pack of 1)"/>
    <n v="299"/>
    <n v="224"/>
    <n v="0.25"/>
    <n v="4"/>
    <s v="Medium"/>
    <s v=" Foliage"/>
    <s v=" Indoor, Outdoor"/>
    <s v="PBMANDIRAPLANT"/>
    <s v="No Returns Allowed?"/>
    <n v="523"/>
    <n v="0.9"/>
    <x v="0"/>
  </r>
  <r>
    <s v="1754309771-79"/>
    <s v="UGAOO Jade Plant"/>
    <s v="UGAOO Jade Plant  (Hybrid, Pack of 1)"/>
    <n v="495"/>
    <n v="331"/>
    <n v="0.33"/>
    <n v="4.0999999999999996"/>
    <s v="Small"/>
    <s v=" Succulent"/>
    <s v=" Indoor"/>
    <s v="UGAOO"/>
    <s v="No Returns Allowed?"/>
    <n v="826"/>
    <n v="0.9"/>
    <x v="1"/>
  </r>
  <r>
    <s v="1754309773-80"/>
    <s v="UGAOO Jade Plant"/>
    <s v="UGAOO Jade Plant  (Pack of 1)"/>
    <n v="349"/>
    <n v="325"/>
    <n v="0.06"/>
    <n v="4"/>
    <s v="Small"/>
    <s v=" Succulent"/>
    <s v=" Indoor"/>
    <s v="UGAOO"/>
    <s v="No Returns Allowed?"/>
    <n v="674"/>
    <n v="0.9"/>
    <x v="0"/>
  </r>
  <r>
    <s v="1754309779-81"/>
    <s v="Darjeeling Planters Jackfruit Plant"/>
    <s v="Darjeeling Planters Jackfruit Plant  (Hybrid, Pack of 1)"/>
    <n v="399"/>
    <n v="135"/>
    <n v="0.66"/>
    <n v="3.1"/>
    <s v=""/>
    <s v=" Fruit"/>
    <s v=" Outdoor"/>
    <s v="Barhloew"/>
    <s v="No Returns Allowed?"/>
    <n v="534"/>
    <n v="0.9"/>
    <x v="1"/>
  </r>
  <r>
    <s v="1754309782-82"/>
    <s v="KPL BERRY PLANT Blackberry Lily Plant"/>
    <s v="KPL BERRY PLANT Blackberry Lily Plant  (Hybrid, Pack of 1)"/>
    <n v="899"/>
    <n v="146"/>
    <n v="0.83"/>
    <n v="2.2999999999999998"/>
    <s v="Medium"/>
    <s v=" Fruit"/>
    <s v=" Outdoor"/>
    <s v="GREENOFGREEN"/>
    <s v="No Returns Allowed?"/>
    <n v="1045"/>
    <n v="0.9"/>
    <x v="0"/>
  </r>
  <r>
    <s v="1754309784-83"/>
    <s v="UGAOO Variegated Money Plant"/>
    <s v="UGAOO Variegated Money Plant  (Pack of 1)"/>
    <n v="449"/>
    <n v="384"/>
    <n v="0.14000000000000001"/>
    <n v="4.4000000000000004"/>
    <s v="Small"/>
    <s v=" Shrub"/>
    <s v=" Indoor"/>
    <s v="UGAOO"/>
    <s v="No Returns Allowed?"/>
    <n v="833"/>
    <n v="0.9"/>
    <x v="1"/>
  </r>
  <r>
    <s v="1754309787-84"/>
    <s v="UGAOO Golden Money Plant"/>
    <s v="UGAOO Golden Money Plant  (Pack of 1)"/>
    <n v="449"/>
    <n v="349"/>
    <n v="0.22"/>
    <n v="4.3"/>
    <s v="Small"/>
    <s v=" Shrub"/>
    <s v=" Indoor"/>
    <s v="UGAOO"/>
    <s v="No Returns Allowed?"/>
    <n v="798"/>
    <n v="0.9"/>
    <x v="0"/>
  </r>
  <r>
    <s v="1754309790-85"/>
    <s v="MAHAMAYA A TO Z Tuberose/Rajnigandha Plant"/>
    <s v="MAHAMAYA A TO Z Tuberose/Rajnigandha Plant  (Hybrid, Pack of 4)"/>
    <n v="1033"/>
    <n v="140"/>
    <n v="0.86"/>
    <n v="4.0999999999999996"/>
    <s v="Small"/>
    <s v=" Flower"/>
    <s v="indoor \outdoor"/>
    <s v="AlaiStore"/>
    <s v="No Returns Allowed?"/>
    <n v="1173"/>
    <n v="0.9"/>
    <x v="1"/>
  </r>
  <r>
    <s v="1754309792-86"/>
    <s v="KPL SWEET BASIL Sweet Basil Plant"/>
    <s v="KPL SWEET BASIL Sweet Basil Plant  (Hybrid, Pack of 1)"/>
    <n v="700"/>
    <n v="149"/>
    <n v="0.78"/>
    <n v="4"/>
    <s v="Medium"/>
    <s v=" Tree"/>
    <s v=" Outdoor"/>
    <s v="LituGarden"/>
    <s v="No Returns Allowed?"/>
    <n v="849"/>
    <n v="0.9"/>
    <x v="1"/>
  </r>
  <r>
    <s v="1754309795-87"/>
    <s v="greenhousestore Portulaca Plant"/>
    <s v="greenhousestore Portulaca Plant  (Hybrid, Pack of 1)"/>
    <n v="599"/>
    <n v="149"/>
    <n v="0.75"/>
    <n v="1"/>
    <s v="Small"/>
    <s v=" Flower"/>
    <s v="indoor \outdoor"/>
    <s v="Antraskh"/>
    <s v="No Returns Allowed?"/>
    <n v="748"/>
    <n v="0.9"/>
    <x v="0"/>
  </r>
  <r>
    <s v="1754309798-88"/>
    <s v="Mohomaya Custard Apple Plant"/>
    <s v="Mohomaya Custard Apple Plant  (Pack of 1)"/>
    <n v="399"/>
    <n v="182"/>
    <n v="0.54"/>
    <n v="1.9"/>
    <s v="Small"/>
    <s v=" Fruit"/>
    <s v=" Outdoor"/>
    <s v="RIMARDMISTU"/>
    <s v="No Returns Allowed?"/>
    <n v="581"/>
    <n v="0.9"/>
    <x v="1"/>
  </r>
  <r>
    <s v="1754309801-89"/>
    <s v="UGAOO Variegated Money Plant"/>
    <s v="UGAOO Variegated Money Plant  (Pack of 1)"/>
    <n v="449"/>
    <n v="384"/>
    <n v="0.14000000000000001"/>
    <n v="4.4000000000000004"/>
    <s v="Small"/>
    <s v=" Shrub"/>
    <s v=" Indoor"/>
    <s v="UGAOO"/>
    <s v="No Returns Allowed?"/>
    <n v="833"/>
    <n v="0.9"/>
    <x v="1"/>
  </r>
  <r>
    <s v="1754309803-90"/>
    <s v="UGAOO Jade Plant"/>
    <s v="UGAOO Jade Plant  (Hybrid, Pack of 1)"/>
    <n v="499"/>
    <n v="335"/>
    <n v="0.32"/>
    <n v="4"/>
    <s v="Small"/>
    <s v=" Succulent"/>
    <s v=" Indoor"/>
    <s v="UGAOO"/>
    <s v="No Returns Allowed?"/>
    <n v="834"/>
    <n v="0.9"/>
    <x v="0"/>
  </r>
  <r>
    <s v="1754309806-91"/>
    <s v="Samarthgreens Apple Plant"/>
    <s v="Samarthgreens Apple Plant  (Hybrid, Pack of 1)"/>
    <n v="599"/>
    <n v="135"/>
    <n v="0.77"/>
    <n v="3.6"/>
    <s v="Small"/>
    <s v=" Fruit"/>
    <s v=" Outdoor"/>
    <s v="AlaiStore"/>
    <s v="No Returns Allowed?"/>
    <n v="734"/>
    <n v="0.9"/>
    <x v="1"/>
  </r>
  <r>
    <s v="1754309808-92"/>
    <s v="e generix Betel Nut/Supari Plant"/>
    <s v="e generix Betel Nut/Supari Plant  (Hybrid, Pack of 2)"/>
    <n v="299"/>
    <n v="167"/>
    <n v="0.44"/>
    <n v="3.5"/>
    <s v="Small"/>
    <s v=" Fruit"/>
    <s v=" Outdoor"/>
    <s v="THEGREENDOTCOM"/>
    <s v="No Returns Allowed?"/>
    <n v="466"/>
    <n v="0.9"/>
    <x v="1"/>
  </r>
  <r>
    <s v="1754309811-93"/>
    <s v="UGAOO Jade Plant"/>
    <s v="UGAOO Jade Plant  (Hybrid, Pack of 1)"/>
    <n v="749"/>
    <n v="516"/>
    <n v="0.31"/>
    <n v="3.6"/>
    <s v="Small"/>
    <s v=" Succulent"/>
    <s v=" Indoor"/>
    <s v="UGAOO"/>
    <s v="No Returns Allowed?"/>
    <n v="1265"/>
    <n v="0.9"/>
    <x v="1"/>
  </r>
  <r>
    <s v="1754309813-94"/>
    <s v="UGAOO Njoy Money Plant"/>
    <s v="UGAOO Njoy Money Plant  (Hybrid, Pack of 1)"/>
    <n v="549"/>
    <n v="388"/>
    <n v="0.28999999999999998"/>
    <n v="4.3"/>
    <s v="Small"/>
    <s v=" Foliage"/>
    <s v=" Indoor"/>
    <s v="UGAOO"/>
    <s v="No Returns Allowed?"/>
    <n v="937"/>
    <n v="0.9"/>
    <x v="1"/>
  </r>
  <r>
    <s v="1754309816-95"/>
    <s v="CHILLATAI Lily Plant"/>
    <s v="CHILLATAI Lily Plant  (Pack of 1)"/>
    <n v="1489"/>
    <n v="528"/>
    <n v="0.64"/>
    <n v="4"/>
    <s v="Small"/>
    <s v=" Herb"/>
    <s v=" Outdoor"/>
    <s v="CHILLATAI"/>
    <s v="No Returns Allowed?"/>
    <n v="2017"/>
    <n v="0.9"/>
    <x v="1"/>
  </r>
  <r>
    <s v="1754309818-96"/>
    <s v="GULMOHAR Royal Poinciana Plant"/>
    <s v="GULMOHAR Royal Poinciana Plant  (Hybrid, Pack of 1)"/>
    <n v="369"/>
    <n v="181"/>
    <n v="0.5"/>
    <n v="3.6"/>
    <s v="Small"/>
    <s v=" Flower"/>
    <s v=" Outdoor"/>
    <s v="GreenyOn"/>
    <s v="No Returns Allowed?"/>
    <n v="550"/>
    <n v="0.9"/>
    <x v="1"/>
  </r>
  <r>
    <s v="1754309821-97"/>
    <s v="Cloud Farm Dragon Tree"/>
    <s v="Cloud Farm Dragon Tree  (Hybrid, Pack of 1)"/>
    <n v="199"/>
    <n v="147"/>
    <n v="0.26"/>
    <n v="3.6"/>
    <s v="Medium"/>
    <s v=" Fruit"/>
    <s v=" Outdoor"/>
    <s v="GreenyOn"/>
    <s v="No Returns Allowed?"/>
    <n v="346"/>
    <n v="0.9"/>
    <x v="1"/>
  </r>
  <r>
    <s v="1754309824-98"/>
    <s v="Aquinnah Chiku Plant"/>
    <s v="Aquinnah Chiku Plant  (Hybrid, Pack of 1)"/>
    <n v="499"/>
    <n v="137"/>
    <n v="0.72"/>
    <n v="3.4"/>
    <s v="Small"/>
    <s v=" Fruit"/>
    <s v="indoor \outdoor"/>
    <s v="OxygenCart"/>
    <s v="No Returns Allowed?"/>
    <n v="636"/>
    <n v="0.9"/>
    <x v="1"/>
  </r>
  <r>
    <s v="1754309826-99"/>
    <s v="UGAOO Golden Money Plant"/>
    <s v="UGAOO Golden Money Plant  (Pack of 1)"/>
    <n v="449"/>
    <n v="349"/>
    <n v="0.22"/>
    <n v="4.3"/>
    <s v="Small"/>
    <s v=" Shrub"/>
    <s v=" Indoor"/>
    <s v="UGAOO"/>
    <s v="No Returns Allowed?"/>
    <n v="798"/>
    <n v="0.9"/>
    <x v="1"/>
  </r>
  <r>
    <s v="1754309829-100"/>
    <s v="UGAOO Golden Money Plant"/>
    <s v="UGAOO Golden Money Plant  (Pack of 1)"/>
    <n v="449"/>
    <n v="349"/>
    <n v="0.22"/>
    <n v="4.3"/>
    <s v="Small"/>
    <s v=" Shrub"/>
    <s v=" Indoor"/>
    <s v="UGAOO"/>
    <s v="No Returns Allowed?"/>
    <n v="798"/>
    <n v="0.9"/>
    <x v="1"/>
  </r>
  <r>
    <s v="1754309831-101"/>
    <s v="Cloud Farm Jackfruit Plant"/>
    <s v="Cloud Farm Jackfruit Plant  (Hybrid, Pack of 1)"/>
    <n v="399"/>
    <n v="145"/>
    <n v="0.63"/>
    <n v="3.3"/>
    <s v="Medium"/>
    <s v=" Fruit"/>
    <s v=" Outdoor"/>
    <s v="AlaiStore"/>
    <s v="No Returns Allowed?"/>
    <n v="544"/>
    <n v="0.9"/>
    <x v="1"/>
  </r>
  <r>
    <s v="1754309833-102"/>
    <s v="HERBALISM Jaboticaba Plant"/>
    <s v="HERBALISM Jaboticaba Plant  (Pack of 1)"/>
    <n v="999"/>
    <n v="492"/>
    <n v="0.5"/>
    <n v="3.6"/>
    <s v="Small"/>
    <s v=" Flower"/>
    <s v=" Indoor"/>
    <s v="TheEntacloo"/>
    <s v="No Returns Allowed?"/>
    <n v="1491"/>
    <n v="0.9"/>
    <x v="1"/>
  </r>
  <r>
    <s v="1754309836-103"/>
    <s v="UGAOO Jade Plant"/>
    <s v="UGAOO Jade Plant  (Hybrid, Pack of 1)"/>
    <n v="499"/>
    <n v="424"/>
    <n v="0.15"/>
    <n v="4.3"/>
    <s v="Small"/>
    <s v=" Succulent"/>
    <s v=" Indoor"/>
    <s v="UGAOO"/>
    <s v="No Returns Allowed?"/>
    <n v="923"/>
    <n v="0.9"/>
    <x v="0"/>
  </r>
  <r>
    <s v="1754309839-104"/>
    <s v="UGAOO Variegated Money Plant"/>
    <s v="UGAOO Variegated Money Plant  (Pack of 1)"/>
    <n v="449"/>
    <n v="359"/>
    <n v="0.2"/>
    <n v="4.4000000000000004"/>
    <s v="Small"/>
    <s v=" Shrub"/>
    <s v=" Indoor"/>
    <s v="UGAOO"/>
    <s v="No Returns Allowed?"/>
    <n v="808"/>
    <n v="0.9"/>
    <x v="1"/>
  </r>
  <r>
    <s v="1754309841-105"/>
    <s v="langda mango Mango Plant"/>
    <s v="langda mango Mango Plant  (Hybrid, Pack of 1)"/>
    <n v="250"/>
    <n v="191"/>
    <n v="0.23"/>
    <n v="3.5"/>
    <s v="Small"/>
    <s v=" Fruit"/>
    <s v=" Outdoor"/>
    <s v="RUFLEF"/>
    <s v="No Returns Allowed?"/>
    <n v="441"/>
    <n v="0.9"/>
    <x v="0"/>
  </r>
  <r>
    <s v="1754309844-106"/>
    <s v="Tha live root hanging jelly Indian Snakeroot Plant"/>
    <s v="Tha live root hanging jelly Indian Snakeroot Plant  (Hybrid, Pack of 1)"/>
    <n v="560"/>
    <n v="205"/>
    <n v="0.63"/>
    <n v="3.4"/>
    <s v="Small"/>
    <s v=" Succulent"/>
    <s v="indoor \outdoor"/>
    <s v="shrienterprises01"/>
    <s v="No Returns Allowed?"/>
    <n v="765"/>
    <n v="0.9"/>
    <x v="1"/>
  </r>
  <r>
    <s v="1754309846-107"/>
    <s v="Oxygreenplant Tabebuia rosea"/>
    <s v="Oxygreenplant Tabebuia rosea  (Hybrid, Pack of 1)"/>
    <n v="499"/>
    <n v="180"/>
    <n v="0.63"/>
    <n v="3.6"/>
    <s v="Small"/>
    <s v=" Flower"/>
    <s v=" Outdoor"/>
    <s v="Matanga"/>
    <s v="No Returns Allowed?"/>
    <n v="679"/>
    <n v="0.9"/>
    <x v="1"/>
  </r>
  <r>
    <s v="1754309849-108"/>
    <s v="Aquinnah Kiwi Plant"/>
    <s v="Aquinnah Kiwi Plant  (Hybrid, Pack of 1)"/>
    <n v="499"/>
    <n v="142"/>
    <n v="0.71"/>
    <n v="3.3"/>
    <s v="Small"/>
    <s v=" Fruit"/>
    <s v="indoor \outdoor"/>
    <s v="CloudFarming"/>
    <s v="No Returns Allowed?"/>
    <n v="641"/>
    <n v="0.9"/>
    <x v="0"/>
  </r>
  <r>
    <s v="1754309852-109"/>
    <s v="UGAOO Jade Plant"/>
    <s v="UGAOO Jade Plant  (Hybrid, Pack of 1)"/>
    <n v="449"/>
    <n v="335"/>
    <n v="0.25"/>
    <n v="4"/>
    <s v="Small"/>
    <s v=" Succulent"/>
    <s v=" Indoor"/>
    <s v="UGAOO"/>
    <s v="No Returns Allowed?"/>
    <n v="784"/>
    <n v="0.9"/>
    <x v="0"/>
  </r>
  <r>
    <s v="1754309854-110"/>
    <s v="UGAOO Jade Plant"/>
    <s v="UGAOO Jade Plant  (Hybrid, Pack of 1)"/>
    <n v="499"/>
    <n v="426"/>
    <n v="0.14000000000000001"/>
    <n v="4.2"/>
    <s v="Small"/>
    <s v=" Succulent"/>
    <s v=" Indoor"/>
    <s v="UGAOO"/>
    <s v="No Returns Allowed?"/>
    <n v="925"/>
    <n v="0.9"/>
    <x v="1"/>
  </r>
  <r>
    <s v="1754309857-111"/>
    <s v="Cloud Farm Rosemary Plant"/>
    <s v="Cloud Farm Rosemary Plant  (Hybrid, Pack of 1)"/>
    <n v="499"/>
    <n v="172"/>
    <n v="0.65"/>
    <n v="4"/>
    <s v="Medium"/>
    <s v=" Air purifier plant"/>
    <s v=" Indoor"/>
    <s v="AlaiStore"/>
    <s v="No Returns Allowed?"/>
    <n v="671"/>
    <n v="0.9"/>
    <x v="0"/>
  </r>
  <r>
    <s v="1754309859-112"/>
    <s v="LaughEarth Lemon Plant"/>
    <s v="LaughEarth Lemon Plant  (Hybrid, Pack of 1)"/>
    <n v="499"/>
    <n v="130"/>
    <n v="0.73"/>
    <n v="3.4"/>
    <s v="Medium"/>
    <s v=" Fruit"/>
    <s v=" Outdoor"/>
    <s v="AFARTIOBINA"/>
    <s v="No Returns Allowed?"/>
    <n v="629"/>
    <n v="0.9"/>
    <x v="1"/>
  </r>
  <r>
    <s v="1754309861-113"/>
    <s v="UGAOO Jade Plant"/>
    <s v="UGAOO Jade Plant  (Hybrid, Pack of 1)"/>
    <n v="499"/>
    <n v="335"/>
    <n v="0.32"/>
    <n v="4"/>
    <s v="Small"/>
    <s v=" Succulent"/>
    <s v=" Indoor"/>
    <s v="UGAOO"/>
    <s v="No Returns Allowed?"/>
    <n v="834"/>
    <n v="0.9"/>
    <x v="1"/>
  </r>
  <r>
    <s v="1754309864-114"/>
    <s v="UGAOO Variegated Money Plant"/>
    <s v="UGAOO Variegated Money Plant  (Pack of 1)"/>
    <n v="445"/>
    <n v="335"/>
    <n v="0.24"/>
    <n v="4.4000000000000004"/>
    <s v="Small"/>
    <s v=" Shrub"/>
    <s v=" Indoor"/>
    <s v="UGAOO"/>
    <s v="No Returns Allowed?"/>
    <n v="780"/>
    <n v="0.9"/>
    <x v="1"/>
  </r>
  <r>
    <s v="1754309866-115"/>
    <s v="Jiffy Plants Curtain Creeper Plant"/>
    <s v="Jiffy Plants Curtain Creeper Plant  (Pack of 1)"/>
    <n v="449"/>
    <n v="253"/>
    <n v="0.43"/>
    <n v="3.7"/>
    <s v="Small"/>
    <s v=" Creepers and Climbers"/>
    <s v=" Outdoor"/>
    <s v="JiffyPlants"/>
    <s v="No Returns Allowed?"/>
    <n v="702"/>
    <n v="0.9"/>
    <x v="1"/>
  </r>
  <r>
    <s v="1754309869-116"/>
    <s v="BDSresolve Sarpagandha Plant"/>
    <s v="BDSresolve Sarpagandha Plant  (Hybrid, Pack of 1)"/>
    <n v="999"/>
    <n v="179"/>
    <n v="0.82"/>
    <n v="4"/>
    <s v="Medium"/>
    <s v=" Tree"/>
    <s v=" Outdoor"/>
    <s v="NATURESNURSERYY"/>
    <s v="No Returns Allowed?"/>
    <n v="1178"/>
    <n v="0.9"/>
    <x v="0"/>
  </r>
  <r>
    <s v="1754309872-117"/>
    <s v="RudraECOM Cherry Fruit Plant"/>
    <s v="RudraECOM Cherry Fruit Plant  (Hybrid, Pack of 1)"/>
    <n v="659"/>
    <n v="121"/>
    <n v="0.81"/>
    <n v="3.5"/>
    <s v="Small"/>
    <s v=" Fruit"/>
    <s v=" Outdoor"/>
    <s v="OxygenCart"/>
    <s v="No Returns Allowed?"/>
    <n v="780"/>
    <n v="0.9"/>
    <x v="0"/>
  </r>
  <r>
    <s v="1754309874-118"/>
    <s v="Greensolution Jade Plant"/>
    <s v="Greensolution Jade Plant  (Hybrid, Pack of 1)"/>
    <n v="399"/>
    <n v="169"/>
    <n v="0.56999999999999995"/>
    <n v="4"/>
    <s v="Medium"/>
    <s v=" Succulent"/>
    <s v="indoor \outdoor"/>
    <s v="SaplingTales"/>
    <s v="No Returns Allowed?"/>
    <n v="568"/>
    <n v="0.9"/>
    <x v="1"/>
  </r>
  <r>
    <s v="1754309877-119"/>
    <s v="UGAOO Jade Plant"/>
    <s v="UGAOO Jade Plant  (Hybrid, Pack of 1)"/>
    <n v="495"/>
    <n v="331"/>
    <n v="0.33"/>
    <n v="4.0999999999999996"/>
    <s v="Small"/>
    <s v=" Succulent"/>
    <s v=" Indoor"/>
    <s v="UGAOO"/>
    <s v="No Returns Allowed?"/>
    <n v="826"/>
    <n v="0.9"/>
    <x v="1"/>
  </r>
  <r>
    <s v="1754309879-120"/>
    <s v="UGAOO Jade Plant"/>
    <s v="UGAOO Jade Plant  (Pack of 1)"/>
    <n v="349"/>
    <n v="325"/>
    <n v="0.06"/>
    <n v="4"/>
    <s v="Small"/>
    <s v=" Succulent"/>
    <s v=" Indoor"/>
    <s v="UGAOO"/>
    <s v="No Returns Allowed?"/>
    <n v="674"/>
    <n v="0.9"/>
    <x v="1"/>
  </r>
  <r>
    <s v="1754309884-121"/>
    <s v="Biswas Bloom Rose Plant, Rose Apple Plant"/>
    <s v="Biswas Bloom Rose Plant, Rose Apple Plant  (Hybrid, Pack of 1)"/>
    <n v="299"/>
    <n v="139"/>
    <n v="0.53"/>
    <n v="4"/>
    <s v="Large"/>
    <s v=" Flower"/>
    <s v="indoor \outdoor"/>
    <s v="BREEZYBLOOM"/>
    <s v="No Returns Allowed?"/>
    <n v="438"/>
    <n v="0.9"/>
    <x v="1"/>
  </r>
  <r>
    <s v="1754309887-122"/>
    <s v="FSK Kiwi Plant"/>
    <s v="FSK Kiwi Plant  (Hybrid, Pack of 1)"/>
    <n v="499"/>
    <n v="140"/>
    <n v="0.71"/>
    <n v="3.5"/>
    <s v="Medium"/>
    <s v=" Fruit"/>
    <s v=" Outdoor"/>
    <s v="CultivaEnterprise"/>
    <s v="No Returns Allowed?"/>
    <n v="639"/>
    <n v="0.9"/>
    <x v="0"/>
  </r>
  <r>
    <s v="1754309889-123"/>
    <s v="UGAOO Variegated Money Plant"/>
    <s v="UGAOO Variegated Money Plant  (Pack of 1)"/>
    <n v="449"/>
    <n v="384"/>
    <n v="0.14000000000000001"/>
    <n v="4.4000000000000004"/>
    <s v="Small"/>
    <s v=" Shrub"/>
    <s v=" Indoor"/>
    <s v="UGAOO"/>
    <s v="No Returns Allowed?"/>
    <n v="833"/>
    <n v="0.9"/>
    <x v="1"/>
  </r>
  <r>
    <s v="1754309892-124"/>
    <s v="UGAOO Golden Money Plant"/>
    <s v="UGAOO Golden Money Plant  (Pack of 1)"/>
    <n v="449"/>
    <n v="349"/>
    <n v="0.22"/>
    <n v="4.3"/>
    <s v="Small"/>
    <s v=" Shrub"/>
    <s v=" Indoor"/>
    <s v="UGAOO"/>
    <s v="No Returns Allowed?"/>
    <n v="798"/>
    <n v="0.9"/>
    <x v="0"/>
  </r>
  <r>
    <s v="1754309894-125"/>
    <s v="Risenshine Curry Leaf Plant"/>
    <s v="Risenshine Curry Leaf Plant  (Pack of 1)"/>
    <n v="599"/>
    <n v="135"/>
    <n v="0.77"/>
    <n v="4.0999999999999996"/>
    <s v="Small"/>
    <s v=" Herb"/>
    <s v=" Outdoor"/>
    <s v="AlaiStore"/>
    <s v="No Returns Allowed?"/>
    <n v="734"/>
    <n v="0.9"/>
    <x v="0"/>
  </r>
  <r>
    <s v="1754309897-126"/>
    <s v="Cloud Farm ZZ Plant"/>
    <s v="Cloud Farm ZZ Plant  (Hybrid, Pack of 1)"/>
    <n v="299"/>
    <n v="158"/>
    <n v="0.47"/>
    <n v="3.6"/>
    <s v="Small"/>
    <s v=" Fruit"/>
    <s v=" Outdoor"/>
    <s v="GreenyOn"/>
    <s v="No Returns Allowed?"/>
    <n v="457"/>
    <n v="0.9"/>
    <x v="0"/>
  </r>
  <r>
    <s v="1754309899-127"/>
    <s v="LATOSTAZAS Litchi Plant"/>
    <s v="LATOSTAZAS Litchi Plant  (Hybrid, Pack of 1)"/>
    <n v="399"/>
    <n v="210"/>
    <n v="0.47"/>
    <n v="3.2"/>
    <s v="Small"/>
    <s v=" Fruit"/>
    <s v=" Outdoor"/>
    <s v="NALQUITS"/>
    <s v="No Returns Allowed?"/>
    <n v="609"/>
    <n v="0.9"/>
    <x v="1"/>
  </r>
  <r>
    <s v="1754309902-128"/>
    <s v="Gopikananda Berry Plant"/>
    <s v="Gopikananda Berry Plant  (Hybrid, Pack of 1)"/>
    <n v="799"/>
    <n v="205"/>
    <n v="0.74"/>
    <n v="4"/>
    <s v="Small"/>
    <s v=" Fruit"/>
    <s v="indoor \outdoor"/>
    <s v="AlaiStore"/>
    <s v="No Returns Allowed?"/>
    <n v="1004"/>
    <n v="0.9"/>
    <x v="0"/>
  </r>
  <r>
    <s v="1754309905-129"/>
    <s v="UGAOO Variegated Money Plant"/>
    <s v="UGAOO Variegated Money Plant  (Pack of 1)"/>
    <n v="449"/>
    <n v="384"/>
    <n v="0.14000000000000001"/>
    <n v="4.4000000000000004"/>
    <s v="Small"/>
    <s v=" Shrub"/>
    <s v=" Indoor"/>
    <s v="UGAOO"/>
    <s v="No Returns Allowed?"/>
    <n v="833"/>
    <n v="0.9"/>
    <x v="0"/>
  </r>
  <r>
    <s v="1754309907-130"/>
    <s v="UGAOO Jade Plant"/>
    <s v="UGAOO Jade Plant  (Hybrid, Pack of 1)"/>
    <n v="499"/>
    <n v="335"/>
    <n v="0.32"/>
    <n v="4"/>
    <s v="Small"/>
    <s v=" Succulent"/>
    <s v=" Indoor"/>
    <s v="UGAOO"/>
    <s v="No Returns Allowed?"/>
    <n v="834"/>
    <n v="0.9"/>
    <x v="1"/>
  </r>
  <r>
    <s v="1754309910-131"/>
    <s v="Ebainz Brazilian Wood"/>
    <s v="Ebainz Brazilian Wood  (Pack of 1)"/>
    <n v="1200"/>
    <n v="177"/>
    <n v="0.85"/>
    <n v="4"/>
    <s v="Medium"/>
    <s v=" Bamboo"/>
    <s v="indoor \outdoor"/>
    <s v="AlaiStore"/>
    <s v="No Returns Allowed?"/>
    <n v="1377"/>
    <n v="0.9"/>
    <x v="0"/>
  </r>
  <r>
    <s v="1754309912-132"/>
    <s v="EarthAngel Bougainvillea Plant"/>
    <s v="EarthAngel Bougainvillea Plant  (Hybrid, Pack of 1)"/>
    <n v="499"/>
    <n v="177"/>
    <n v="0.64"/>
    <n v="1.8"/>
    <s v="Small"/>
    <s v=" Flower"/>
    <s v=" Outdoor"/>
    <s v="TheEntacloo"/>
    <s v="No Returns Allowed?"/>
    <n v="676"/>
    <n v="0.9"/>
    <x v="1"/>
  </r>
  <r>
    <s v="1754309915-133"/>
    <s v="UGAOO Jade Plant"/>
    <s v="UGAOO Jade Plant  (Hybrid, Pack of 1)"/>
    <n v="749"/>
    <n v="516"/>
    <n v="0.31"/>
    <n v="3.6"/>
    <s v="Small"/>
    <s v=" Succulent"/>
    <s v=" Indoor"/>
    <s v="UGAOO"/>
    <s v="No Returns Allowed?"/>
    <n v="1265"/>
    <n v="0.9"/>
    <x v="0"/>
  </r>
  <r>
    <s v="1754309926-134"/>
    <s v="UGAOO Njoy Money Plant"/>
    <s v="UGAOO Njoy Money Plant  (Hybrid, Pack of 1)"/>
    <n v="549"/>
    <n v="388"/>
    <n v="0.28999999999999998"/>
    <n v="4.3"/>
    <s v="Small"/>
    <s v=" Foliage"/>
    <s v=" Indoor"/>
    <s v="UGAOO"/>
    <s v="No Returns Allowed?"/>
    <n v="937"/>
    <n v="0.9"/>
    <x v="0"/>
  </r>
  <r>
    <s v="1754309939-135"/>
    <s v="Global Mart Plant Indian Snakeroot Plant"/>
    <s v="Global Mart Plant Indian Snakeroot Plant  (Hybrid, Pack of 1)"/>
    <n v="299"/>
    <n v="145"/>
    <n v="0.51"/>
    <n v="3.5"/>
    <s v="Small"/>
    <s v=" Shrub"/>
    <s v="indoor \outdoor"/>
    <s v="Digitalgreenpar"/>
    <s v="No Returns Allowed?"/>
    <n v="444"/>
    <n v="0.9"/>
    <x v="1"/>
  </r>
  <r>
    <s v="1754309942-136"/>
    <s v="greenhousestore Golden Champa Plant"/>
    <s v="greenhousestore Golden Champa Plant  (Hybrid, Pack of 1)"/>
    <n v="499"/>
    <n v="140"/>
    <n v="0.71"/>
    <n v="3.2"/>
    <s v="Small"/>
    <s v=" Flower"/>
    <s v=" Indoor, Outdoor"/>
    <s v="GreenyOn"/>
    <s v="No Returns Allowed?"/>
    <n v="639"/>
    <n v="0.9"/>
    <x v="1"/>
  </r>
  <r>
    <s v="1754309944-137"/>
    <s v="Heaven Of Saplings Apple Plant"/>
    <s v="Heaven Of Saplings Apple Plant  (Hybrid, Pack of 1)"/>
    <n v="385"/>
    <n v="140"/>
    <n v="0.63"/>
    <n v="4"/>
    <s v="Small"/>
    <s v=" Fruit"/>
    <s v=" Indoor, Outdoor"/>
    <s v="MeeraTaders"/>
    <s v="No Returns Allowed?"/>
    <n v="525"/>
    <n v="0.9"/>
    <x v="0"/>
  </r>
  <r>
    <s v="1754309947-138"/>
    <s v="Samarthgreens Banana Plant"/>
    <s v="Samarthgreens Banana Plant  (Hybrid, Pack of 1)"/>
    <n v="599"/>
    <n v="137"/>
    <n v="0.77"/>
    <n v="4"/>
    <s v="Small"/>
    <s v=" Fruit"/>
    <s v="indoor \outdoor"/>
    <s v="AlaiStore"/>
    <s v="No Returns Allowed?"/>
    <n v="736"/>
    <n v="0.9"/>
    <x v="1"/>
  </r>
  <r>
    <s v="1754309949-139"/>
    <s v="UGAOO Golden Money Plant"/>
    <s v="UGAOO Golden Money Plant  (Pack of 1)"/>
    <n v="449"/>
    <n v="349"/>
    <n v="0.22"/>
    <n v="4.3"/>
    <s v="Small"/>
    <s v=" Shrub"/>
    <s v=" Indoor"/>
    <s v="UGAOO"/>
    <s v="No Returns Allowed?"/>
    <n v="798"/>
    <n v="0.9"/>
    <x v="1"/>
  </r>
  <r>
    <s v="1754309952-140"/>
    <s v="UGAOO Golden Money Plant"/>
    <s v="UGAOO Golden Money Plant  (Pack of 1)"/>
    <n v="449"/>
    <n v="349"/>
    <n v="0.22"/>
    <n v="4.3"/>
    <s v="Small"/>
    <s v=" Shrub"/>
    <s v=" Indoor"/>
    <s v="UGAOO"/>
    <s v="No Returns Allowed?"/>
    <n v="798"/>
    <n v="0.9"/>
    <x v="1"/>
  </r>
  <r>
    <s v="1754309954-141"/>
    <s v="Cloud Farm Pomegranate Plant"/>
    <s v="Cloud Farm Pomegranate Plant  (Hybrid, Pack of 1)"/>
    <n v="499"/>
    <n v="142"/>
    <n v="0.71"/>
    <n v="3.3"/>
    <s v="Medium"/>
    <s v=" Fruit"/>
    <s v=" Outdoor"/>
    <s v="CloudFarming"/>
    <s v="No Returns Allowed?"/>
    <n v="641"/>
    <n v="0.9"/>
    <x v="0"/>
  </r>
  <r>
    <s v="1754309957-142"/>
    <s v="Cloud Farm Walnut Plant"/>
    <s v="Cloud Farm Walnut Plant  (Hybrid, Pack of 1)"/>
    <n v="499"/>
    <n v="150"/>
    <n v="0.69"/>
    <n v="3.5"/>
    <s v="Medium"/>
    <s v=" Fruit"/>
    <s v=" Outdoor"/>
    <s v="AlaiStore"/>
    <s v="No Returns Allowed?"/>
    <n v="649"/>
    <n v="0.9"/>
    <x v="1"/>
  </r>
  <r>
    <s v="1754309960-143"/>
    <s v="UGAOO Jade Plant"/>
    <s v="UGAOO Jade Plant  (Hybrid, Pack of 1)"/>
    <n v="499"/>
    <n v="424"/>
    <n v="0.15"/>
    <n v="4.3"/>
    <s v="Small"/>
    <s v=" Succulent"/>
    <s v=" Indoor"/>
    <s v="UGAOO"/>
    <s v="No Returns Allowed?"/>
    <n v="923"/>
    <n v="0.9"/>
    <x v="1"/>
  </r>
  <r>
    <s v="1754309962-144"/>
    <s v="UGAOO Variegated Money Plant"/>
    <s v="UGAOO Variegated Money Plant  (Pack of 1)"/>
    <n v="449"/>
    <n v="359"/>
    <n v="0.2"/>
    <n v="4.4000000000000004"/>
    <s v="Small"/>
    <s v=" Shrub"/>
    <s v=" Indoor"/>
    <s v="UGAOO"/>
    <s v="No Returns Allowed?"/>
    <n v="808"/>
    <n v="0.9"/>
    <x v="1"/>
  </r>
  <r>
    <s v="1754309964-145"/>
    <s v="DOOR TO GARDEN Bay Leaf Plant"/>
    <s v="DOOR TO GARDEN Bay Leaf Plant  (Hybrid, Pack of 1)"/>
    <n v="419"/>
    <n v="231"/>
    <n v="0.44"/>
    <n v="3.9"/>
    <s v="Small"/>
    <s v=" Herb"/>
    <s v=" Outdoor"/>
    <s v="GARDEN CARE"/>
    <s v="No Returns Allowed?"/>
    <n v="650"/>
    <n v="0.9"/>
    <x v="1"/>
  </r>
  <r>
    <s v="1754309967-146"/>
    <s v="PlantNature Guava Plant"/>
    <s v="PlantNature Guava Plant  (Hybrid, Pack of 1)"/>
    <n v="999"/>
    <n v="128"/>
    <n v="0.87"/>
    <n v="3.2"/>
    <s v="Small"/>
    <s v=" Fruit"/>
    <s v="indoor \outdoor"/>
    <s v="SKYTCOM"/>
    <s v="No Returns Allowed?"/>
    <n v="1127"/>
    <n v="0.9"/>
    <x v="1"/>
  </r>
  <r>
    <s v="1754309969-147"/>
    <s v="amloki Amla Plant"/>
    <s v="amloki Amla Plant  (Hybrid, Pack of 1)"/>
    <n v="500"/>
    <n v="123"/>
    <n v="0.75"/>
    <n v="3.6"/>
    <s v="Medium"/>
    <s v=" Fruit"/>
    <s v=" Outdoor"/>
    <s v="SKYTCOM"/>
    <s v="No Returns Allowed?"/>
    <n v="623"/>
    <n v="0.9"/>
    <x v="1"/>
  </r>
  <r>
    <s v="1754309972-148"/>
    <s v="suvo nursary Duranta Plant"/>
    <s v="suvo nursary Duranta Plant  (Hybrid, Pack of 1)"/>
    <n v="859"/>
    <n v="161"/>
    <n v="0.81"/>
    <n v="3.2"/>
    <s v=""/>
    <s v=" Fruit"/>
    <s v="indoor \outdoor"/>
    <s v="MINATITRADERS"/>
    <s v="No Returns Allowed?"/>
    <n v="1020"/>
    <n v="0.9"/>
    <x v="1"/>
  </r>
  <r>
    <s v="1754309975-149"/>
    <s v="UGAOO Jade Plant"/>
    <s v="UGAOO Jade Plant  (Hybrid, Pack of 1)"/>
    <n v="449"/>
    <n v="335"/>
    <n v="0.25"/>
    <n v="4"/>
    <s v="Small"/>
    <s v=" Succulent"/>
    <s v=" Indoor"/>
    <s v="UGAOO"/>
    <s v="No Returns Allowed?"/>
    <n v="784"/>
    <n v="0.9"/>
    <x v="1"/>
  </r>
  <r>
    <s v="1754309977-150"/>
    <s v="UGAOO Jade Plant"/>
    <s v="UGAOO Jade Plant  (Hybrid, Pack of 1)"/>
    <n v="499"/>
    <n v="426"/>
    <n v="0.14000000000000001"/>
    <n v="4.2"/>
    <s v="Small"/>
    <s v=" Succulent"/>
    <s v=" Indoor"/>
    <s v="UGAOO"/>
    <s v="No Returns Allowed?"/>
    <n v="925"/>
    <n v="0.9"/>
    <x v="0"/>
  </r>
  <r>
    <s v="1754309980-151"/>
    <s v="ABEFARIYA Bougainvillea Plant"/>
    <s v="ABEFARIYA Bougainvillea Plant  (Hybrid, Pack of 1)"/>
    <n v="1420"/>
    <n v="142"/>
    <n v="0.9"/>
    <n v="4"/>
    <s v="Small"/>
    <s v=" Flower"/>
    <s v="indoor \outdoor"/>
    <s v="HORTILIFE"/>
    <s v="No Returns Allowed?"/>
    <n v="1562"/>
    <n v="0.9"/>
    <x v="0"/>
  </r>
  <r>
    <s v="1754309982-152"/>
    <s v="LATOSTAZAS Lemon Plant"/>
    <s v="LATOSTAZAS Lemon Plant  (Hybrid, Pack of 1)"/>
    <n v="699"/>
    <n v="121"/>
    <n v="0.82"/>
    <n v="3.9"/>
    <s v="Small"/>
    <s v=" Fruit"/>
    <s v=" Outdoor"/>
    <s v="SKYTCOM"/>
    <s v="No Returns Allowed?"/>
    <n v="820"/>
    <n v="0.87"/>
    <x v="1"/>
  </r>
  <r>
    <s v="1754309985-153"/>
    <s v="UGAOO Jade Plant"/>
    <s v="UGAOO Jade Plant  (Hybrid, Pack of 1)"/>
    <n v="499"/>
    <n v="335"/>
    <n v="0.32"/>
    <n v="4"/>
    <s v="Small"/>
    <s v=" Succulent"/>
    <s v=" Indoor"/>
    <s v="UGAOO"/>
    <s v="No Returns Allowed?"/>
    <n v="834"/>
    <n v="0.87"/>
    <x v="1"/>
  </r>
  <r>
    <s v="1754309987-154"/>
    <s v="UGAOO Variegated Money Plant"/>
    <s v="UGAOO Variegated Money Plant  (Pack of 1)"/>
    <n v="445"/>
    <n v="335"/>
    <n v="0.24"/>
    <n v="4.4000000000000004"/>
    <s v="Small"/>
    <s v=" Shrub"/>
    <s v=" Indoor"/>
    <s v="UGAOO"/>
    <s v="No Returns Allowed?"/>
    <n v="780"/>
    <n v="0.87"/>
    <x v="1"/>
  </r>
  <r>
    <s v="1754309990-155"/>
    <s v="Aquinnah Areca Palm"/>
    <s v="Aquinnah Areca Palm  (Hybrid, Pack of 1)"/>
    <n v="299"/>
    <n v="134"/>
    <n v="0.55000000000000004"/>
    <n v="3"/>
    <s v="Small"/>
    <s v=" Herb"/>
    <s v="indoor \outdoor"/>
    <s v="SAPLINGO"/>
    <s v="No Returns Allowed?"/>
    <n v="433"/>
    <n v="0.87"/>
    <x v="1"/>
  </r>
  <r>
    <s v="1754309992-156"/>
    <s v="Aquinnah Graden Bella Palm Plant"/>
    <s v="Aquinnah Graden Bella Palm Plant  (Hybrid, Pack of 1)"/>
    <n v="489"/>
    <n v="188"/>
    <n v="0.61"/>
    <n v="3.8"/>
    <s v="Small"/>
    <s v=" Foliage"/>
    <s v="indoor \outdoor"/>
    <s v="Homegraden"/>
    <s v="No Returns Allowed?"/>
    <n v="677"/>
    <n v="0.87"/>
    <x v="1"/>
  </r>
  <r>
    <s v="1754309995-157"/>
    <s v="greenhousestore Crassula Plant"/>
    <s v="greenhousestore Crassula Plant  (Hybrid, Pack of 1)"/>
    <n v="399"/>
    <n v="150"/>
    <n v="0.62"/>
    <n v="3.3"/>
    <s v="Small"/>
    <s v=" Succulent"/>
    <s v="indoor \outdoor"/>
    <s v="PBEVERGREEN"/>
    <s v="No Returns Allowed?"/>
    <n v="549"/>
    <n v="0.87"/>
    <x v="1"/>
  </r>
  <r>
    <s v="1754309999-158"/>
    <s v="greenhousestore Bel Plant"/>
    <s v="greenhousestore Bel Plant  (Hybrid, Pack of 1)"/>
    <n v="599"/>
    <n v="134"/>
    <n v="0.77"/>
    <n v="3.5"/>
    <s v="Small"/>
    <s v=" Fruit"/>
    <s v="indoor \outdoor"/>
    <s v="GreenyOn"/>
    <s v="No Returns Allowed?"/>
    <n v="733"/>
    <n v="0.87"/>
    <x v="1"/>
  </r>
  <r>
    <s v="1754310002-159"/>
    <s v="UGAOO Jade Plant"/>
    <s v="UGAOO Jade Plant  (Hybrid, Pack of 1)"/>
    <n v="495"/>
    <n v="331"/>
    <n v="0.33"/>
    <n v="4.0999999999999996"/>
    <s v="Small"/>
    <s v=" Succulent"/>
    <s v=" Indoor"/>
    <s v="UGAOO"/>
    <s v="No Returns Allowed?"/>
    <n v="826"/>
    <n v="0.87"/>
    <x v="0"/>
  </r>
  <r>
    <s v="1754310004-160"/>
    <s v="UGAOO Jade Plant"/>
    <s v="UGAOO Jade Plant  (Pack of 1)"/>
    <n v="349"/>
    <n v="325"/>
    <n v="0.06"/>
    <n v="4"/>
    <s v="Small"/>
    <s v=" Succulent"/>
    <s v=" Indoor"/>
    <s v="UGAOO"/>
    <s v="No Returns Allowed?"/>
    <n v="674"/>
    <n v="0.87"/>
    <x v="1"/>
  </r>
  <r>
    <s v="1754310010-161"/>
    <s v="Ukanda Litchi Plant"/>
    <s v="Ukanda Litchi Plant  (Hybrid, Pack of 1)"/>
    <n v="389"/>
    <n v="149"/>
    <n v="0.61"/>
    <n v="4"/>
    <s v="Small"/>
    <s v=" Fruit"/>
    <s v=" Indoor, Outdoor"/>
    <s v="SaplingTales"/>
    <s v="No Returns Allowed?"/>
    <n v="538"/>
    <n v="0.87"/>
    <x v="1"/>
  </r>
  <r>
    <s v="1754310012-162"/>
    <s v="greengrow Baleria Plant"/>
    <s v="greengrow Baleria Plant  (Pack of 1)"/>
    <n v="590"/>
    <n v="147"/>
    <n v="0.75"/>
    <n v="3.5"/>
    <s v="Small"/>
    <s v=" Herb"/>
    <s v=" Outdoor"/>
    <s v="AlaiStore"/>
    <s v="No Returns Allowed?"/>
    <n v="737"/>
    <n v="0.87"/>
    <x v="0"/>
  </r>
  <r>
    <s v="1754310015-163"/>
    <s v="UGAOO Variegated Money Plant"/>
    <s v="UGAOO Variegated Money Plant  (Pack of 1)"/>
    <n v="449"/>
    <n v="384"/>
    <n v="0.14000000000000001"/>
    <n v="4.4000000000000004"/>
    <s v="Small"/>
    <s v=" Shrub"/>
    <s v=" Indoor"/>
    <s v="UGAOO"/>
    <s v="No Returns Allowed?"/>
    <n v="833"/>
    <n v="0.87"/>
    <x v="1"/>
  </r>
  <r>
    <s v="1754310017-164"/>
    <s v="UGAOO Golden Money Plant"/>
    <s v="UGAOO Golden Money Plant  (Pack of 1)"/>
    <n v="449"/>
    <n v="349"/>
    <n v="0.22"/>
    <n v="4.3"/>
    <s v="Small"/>
    <s v=" Shrub"/>
    <s v=" Indoor"/>
    <s v="UGAOO"/>
    <s v="No Returns Allowed?"/>
    <n v="798"/>
    <n v="0.87"/>
    <x v="0"/>
  </r>
  <r>
    <s v="1754310020-165"/>
    <s v="Cloud Farm Almond Plant"/>
    <s v="Cloud Farm Almond Plant  (Hybrid, Pack of 1)"/>
    <n v="499"/>
    <n v="145"/>
    <n v="0.7"/>
    <n v="3.7"/>
    <s v="Small"/>
    <s v=" Fruit"/>
    <s v=" Outdoor"/>
    <s v="AlaiStore"/>
    <s v="No Returns Allowed?"/>
    <n v="644"/>
    <n v="0.87"/>
    <x v="0"/>
  </r>
  <r>
    <s v="1754310022-166"/>
    <s v="DAIVISH Guava Plant"/>
    <s v="DAIVISH Guava Plant  (Pack of 1)"/>
    <n v="499"/>
    <n v="198"/>
    <n v="0.6"/>
    <n v="3.5"/>
    <s v="Small"/>
    <s v=" Fruit"/>
    <s v=" Outdoor"/>
    <s v="DaivishNursery"/>
    <s v="No Returns Allowed?"/>
    <n v="697"/>
    <n v="0.87"/>
    <x v="0"/>
  </r>
  <r>
    <s v="1754310025-167"/>
    <s v="Samarthgreens Shami/Jand Plant"/>
    <s v="Samarthgreens Shami/Jand Plant  (Hybrid, Pack of 1)"/>
    <n v="599"/>
    <n v="140"/>
    <n v="0.76"/>
    <n v="3.8"/>
    <s v="Small"/>
    <s v=" Herb"/>
    <s v=" Outdoor"/>
    <s v="GreenyOn"/>
    <s v="No Returns Allowed?"/>
    <n v="739"/>
    <n v="0.87"/>
    <x v="0"/>
  </r>
  <r>
    <s v="1754310028-168"/>
    <s v="AquinnahGaden Dragon Tree"/>
    <s v="AquinnahGaden Dragon Tree  (Hybrid, Pack of 3)"/>
    <n v="489"/>
    <n v="165"/>
    <n v="0.66"/>
    <n v="3.6"/>
    <s v="Medium"/>
    <s v=" Fruit"/>
    <s v="indoor \outdoor"/>
    <s v="GreenyOn"/>
    <s v="No Returns Allowed?"/>
    <n v="654"/>
    <n v="0.87"/>
    <x v="1"/>
  </r>
  <r>
    <s v="1754310030-169"/>
    <s v="UGAOO Variegated Money Plant"/>
    <s v="UGAOO Variegated Money Plant  (Pack of 1)"/>
    <n v="449"/>
    <n v="384"/>
    <n v="0.14000000000000001"/>
    <n v="4.4000000000000004"/>
    <s v="Small"/>
    <s v=" Shrub"/>
    <s v=" Indoor"/>
    <s v="UGAOO"/>
    <s v="No Returns Allowed?"/>
    <n v="833"/>
    <n v="0.87"/>
    <x v="1"/>
  </r>
  <r>
    <s v="1754310033-170"/>
    <s v="UGAOO Jade Plant"/>
    <s v="UGAOO Jade Plant  (Hybrid, Pack of 1)"/>
    <n v="499"/>
    <n v="335"/>
    <n v="0.32"/>
    <n v="4"/>
    <s v="Small"/>
    <s v=" Succulent"/>
    <s v=" Indoor"/>
    <s v="UGAOO"/>
    <s v="No Returns Allowed?"/>
    <n v="834"/>
    <n v="0.87"/>
    <x v="1"/>
  </r>
  <r>
    <s v="1754310036-171"/>
    <s v="FSK Betel Nut/Supari Plant"/>
    <s v="FSK Betel Nut/Supari Plant  (Hybrid, Pack of 1)"/>
    <n v="499"/>
    <n v="132"/>
    <n v="0.73"/>
    <n v="3.5"/>
    <s v="Medium"/>
    <s v=" Fruit"/>
    <s v=" Indoor, Outdoor"/>
    <s v="GreenyOn"/>
    <s v="No Returns Allowed?"/>
    <n v="631"/>
    <n v="0.87"/>
    <x v="0"/>
  </r>
  <r>
    <s v="1754310047-172"/>
    <s v="Ayansh Plants Sudarshan Medicinal Plant (Pack of 1, Her..."/>
    <s v="Ayansh Plants Sudarshan Medicinal Plant (Pack of 1, Herb)  (Hybrid, Pack of 1)"/>
    <n v="256"/>
    <n v="193"/>
    <n v="0.24"/>
    <n v="3.6"/>
    <s v="Small"/>
    <s v=" Herb"/>
    <s v=" Outdoor"/>
    <s v="GreenyOn"/>
    <s v="No Returns Allowed?"/>
    <n v="449"/>
    <n v="0.87"/>
    <x v="1"/>
  </r>
  <r>
    <s v="1754310051-173"/>
    <s v="UGAOO Jade Plant"/>
    <s v="UGAOO Jade Plant  (Hybrid, Pack of 1)"/>
    <n v="749"/>
    <n v="516"/>
    <n v="0.31"/>
    <n v="3.6"/>
    <s v="Small"/>
    <s v=" Succulent"/>
    <s v=" Indoor"/>
    <s v="UGAOO"/>
    <s v="No Returns Allowed?"/>
    <n v="1265"/>
    <n v="0.87"/>
    <x v="1"/>
  </r>
  <r>
    <s v="1754310054-174"/>
    <s v="UGAOO Njoy Money Plant"/>
    <s v="UGAOO Njoy Money Plant  (Hybrid, Pack of 1)"/>
    <n v="549"/>
    <n v="388"/>
    <n v="0.28999999999999998"/>
    <n v="4.3"/>
    <s v="Small"/>
    <s v=" Foliage"/>
    <s v=" Indoor"/>
    <s v="UGAOO"/>
    <s v="No Returns Allowed?"/>
    <n v="937"/>
    <n v="0.87"/>
    <x v="0"/>
  </r>
  <r>
    <s v="1754310056-175"/>
    <s v="AAM Mango Plant"/>
    <s v="AAM Mango Plant  (Hybrid, Pack of 1)"/>
    <n v="600"/>
    <n v="150"/>
    <n v="0.75"/>
    <n v="5"/>
    <s v="Medium"/>
    <s v=" Fruit"/>
    <s v=" Outdoor"/>
    <s v="AlaiStore"/>
    <s v="No Returns Allowed?"/>
    <n v="750"/>
    <n v="0.87"/>
    <x v="0"/>
  </r>
  <r>
    <s v="1754310059-176"/>
    <s v="Global Mart Plant Insulin Plant"/>
    <s v="Global Mart Plant Insulin Plant  (Hybrid, Pack of 2)"/>
    <n v="499"/>
    <n v="139"/>
    <n v="0.72"/>
    <n v="1.6"/>
    <s v="Medium"/>
    <s v=" Herb"/>
    <s v="indoor \outdoor"/>
    <s v="Barhloew"/>
    <s v="No Returns Allowed?"/>
    <n v="638"/>
    <n v="0.87"/>
    <x v="1"/>
  </r>
  <r>
    <s v="1754310061-177"/>
    <s v="DEBNATH Brahma Kamal Plant"/>
    <s v="DEBNATH Brahma Kamal Plant  (Hybrid, Pack of 1)"/>
    <n v="249"/>
    <n v="230"/>
    <n v="7.0000000000000007E-2"/>
    <n v="3.1"/>
    <s v="Small"/>
    <s v=" Flower"/>
    <s v="indoor \outdoor"/>
    <s v="NALQUITS"/>
    <s v="No Returns Allowed?"/>
    <n v="479"/>
    <n v="0.87"/>
    <x v="0"/>
  </r>
  <r>
    <s v="1754310064-178"/>
    <s v="PLANTTOOZS Shami/Jand Plant"/>
    <s v="PLANTTOOZS Shami/Jand Plant  (Pack of 1)"/>
    <n v="599"/>
    <n v="140"/>
    <n v="0.76"/>
    <n v="3.9"/>
    <s v="Small"/>
    <s v=" Herb"/>
    <s v=" Indoor"/>
    <s v="Digitalgreenpar"/>
    <s v="No Returns Allowed?"/>
    <n v="739"/>
    <n v="0.87"/>
    <x v="1"/>
  </r>
  <r>
    <s v="1754310066-179"/>
    <s v="UGAOO Golden Money Plant"/>
    <s v="UGAOO Golden Money Plant  (Pack of 1)"/>
    <n v="449"/>
    <n v="349"/>
    <n v="0.22"/>
    <n v="4.3"/>
    <s v="Small"/>
    <s v=" Shrub"/>
    <s v=" Indoor"/>
    <s v="UGAOO"/>
    <s v="No Returns Allowed?"/>
    <n v="798"/>
    <n v="0.87"/>
    <x v="0"/>
  </r>
  <r>
    <s v="1754310069-180"/>
    <s v="UGAOO Golden Money Plant"/>
    <s v="UGAOO Golden Money Plant  (Pack of 1)"/>
    <n v="449"/>
    <n v="349"/>
    <n v="0.22"/>
    <n v="4.3"/>
    <s v="Small"/>
    <s v=" Shrub"/>
    <s v=" Indoor"/>
    <s v="UGAOO"/>
    <s v="No Returns Allowed?"/>
    <n v="798"/>
    <n v="0.87"/>
    <x v="1"/>
  </r>
  <r>
    <s v="1754310071-181"/>
    <s v="Cloud Farm Ashok Plant"/>
    <s v="Cloud Farm Ashok Plant  (Hybrid, Pack of 1)"/>
    <n v="499"/>
    <n v="155"/>
    <n v="0.68"/>
    <n v="4"/>
    <s v="Small"/>
    <s v=" Tree"/>
    <s v=" Outdoor"/>
    <s v="AlaiStore"/>
    <s v="No Returns Allowed?"/>
    <n v="654"/>
    <n v="0.87"/>
    <x v="0"/>
  </r>
  <r>
    <s v="1754310074-182"/>
    <s v="Global Mart Plant Mini Brazalian wood"/>
    <s v="Global Mart Plant Mini Brazalian wood  (Hybrid, Pack of 2)"/>
    <n v="499"/>
    <n v="170"/>
    <n v="0.65"/>
    <n v="3.3"/>
    <s v="Medium"/>
    <s v=" Bamboo"/>
    <s v="indoor \outdoor"/>
    <s v="Barhloew"/>
    <s v="No Returns Allowed?"/>
    <n v="669"/>
    <n v="0.87"/>
    <x v="1"/>
  </r>
  <r>
    <s v="1754310078-183"/>
    <s v="UGAOO Jade Plant"/>
    <s v="UGAOO Jade Plant  (Hybrid, Pack of 1)"/>
    <n v="499"/>
    <n v="424"/>
    <n v="0.15"/>
    <n v="4.3"/>
    <s v="Small"/>
    <s v=" Succulent"/>
    <s v=" Indoor"/>
    <s v="UGAOO"/>
    <s v="No Returns Allowed?"/>
    <n v="923"/>
    <n v="0.87"/>
    <x v="1"/>
  </r>
  <r>
    <s v="1754310081-184"/>
    <s v="UGAOO Variegated Money Plant"/>
    <s v="UGAOO Variegated Money Plant  (Pack of 1)"/>
    <n v="449"/>
    <n v="359"/>
    <n v="0.2"/>
    <n v="4.4000000000000004"/>
    <s v="Small"/>
    <s v=" Shrub"/>
    <s v=" Indoor"/>
    <s v="UGAOO"/>
    <s v="No Returns Allowed?"/>
    <n v="808"/>
    <n v="0.87"/>
    <x v="1"/>
  </r>
  <r>
    <s v="1754310086-185"/>
    <s v="UGAOO Aralia Plant"/>
    <s v="UGAOO Aralia Plant  (Hybrid, Pack of 1)"/>
    <n v="499"/>
    <n v="392"/>
    <n v="0.21"/>
    <n v="3.9"/>
    <s v="Small"/>
    <s v=" Foliage"/>
    <s v=" Indoor"/>
    <s v="UGAOO"/>
    <s v="No Returns Allowed?"/>
    <n v="891"/>
    <n v="0.87"/>
    <x v="1"/>
  </r>
  <r>
    <s v="1754310089-186"/>
    <s v="PLANTTOOZS Red Sandalwood Plant"/>
    <s v="PLANTTOOZS Red Sandalwood Plant  (Hybrid, Pack of 1)"/>
    <n v="661"/>
    <n v="140"/>
    <n v="0.78"/>
    <n v="4.3"/>
    <s v="Small"/>
    <s v=" Shrub"/>
    <s v=" Outdoor"/>
    <s v="AlaiStore"/>
    <s v="No Returns Allowed?"/>
    <n v="801"/>
    <n v="0.87"/>
    <x v="0"/>
  </r>
  <r>
    <s v="1754310094-187"/>
    <s v="Unisam Bel patra plant Pot Bel Plant"/>
    <s v="Unisam Bel patra plant Pot Bel Plant  (Hybrid, Pack of 1)"/>
    <n v="788"/>
    <n v="140"/>
    <n v="0.82"/>
    <n v="3.7"/>
    <s v="Small"/>
    <s v=" Tree"/>
    <s v="indoor \outdoor"/>
    <s v="Greentropical"/>
    <s v="No Returns Allowed?"/>
    <n v="928"/>
    <n v="0.87"/>
    <x v="1"/>
  </r>
  <r>
    <s v="1754310097-188"/>
    <s v="PLANTTOOZS Apple Plant"/>
    <s v="PLANTTOOZS Apple Plant  (Hybrid, Pack of 1)"/>
    <n v="323"/>
    <n v="162"/>
    <n v="0.49"/>
    <n v="3.3"/>
    <s v="Medium"/>
    <s v=" Fruit"/>
    <s v=" Outdoor"/>
    <s v="Tukitu"/>
    <s v="No Returns Allowed?"/>
    <n v="485"/>
    <n v="0.87"/>
    <x v="0"/>
  </r>
  <r>
    <s v="1754310101-189"/>
    <s v="UGAOO Jade Plant"/>
    <s v="UGAOO Jade Plant  (Hybrid, Pack of 1)"/>
    <n v="449"/>
    <n v="335"/>
    <n v="0.25"/>
    <n v="4"/>
    <s v="Small"/>
    <s v=" Succulent"/>
    <s v=" Indoor"/>
    <s v="UGAOO"/>
    <s v="No Returns Allowed?"/>
    <n v="784"/>
    <n v="0.87"/>
    <x v="0"/>
  </r>
  <r>
    <s v="1754310105-190"/>
    <s v="UGAOO Jade Plant"/>
    <s v="UGAOO Jade Plant  (Hybrid, Pack of 1)"/>
    <n v="499"/>
    <n v="426"/>
    <n v="0.14000000000000001"/>
    <n v="4.2"/>
    <s v="Small"/>
    <s v=" Succulent"/>
    <s v=" Indoor"/>
    <s v="UGAOO"/>
    <s v="No Returns Allowed?"/>
    <n v="925"/>
    <n v="0.87"/>
    <x v="1"/>
  </r>
  <r>
    <s v="1754310109-191"/>
    <s v="MAITRA AND SONS Betel Nut/Supari Plant"/>
    <s v="MAITRA AND SONS Betel Nut/Supari Plant  (Hybrid, Pack of 1)"/>
    <n v="399"/>
    <n v="169"/>
    <n v="0.56999999999999995"/>
    <n v="4"/>
    <s v="Medium"/>
    <s v=" Fruit"/>
    <s v=" Indoor, Outdoor"/>
    <s v="SaplingTales"/>
    <s v="No Returns Allowed?"/>
    <n v="568"/>
    <n v="0.87"/>
    <x v="1"/>
  </r>
  <r>
    <s v="1754310116-192"/>
    <s v="Barhloew Rasna Plant"/>
    <s v="Barhloew Rasna Plant  (Hybrid, Pack of 1)"/>
    <n v="999"/>
    <n v="279"/>
    <n v="0.72"/>
    <n v="4"/>
    <s v="Medium"/>
    <s v=" Fruit"/>
    <s v="indoor \outdoor"/>
    <s v="CloudFarming"/>
    <s v="No Returns Allowed?"/>
    <n v="1278"/>
    <n v="0.87"/>
    <x v="1"/>
  </r>
  <r>
    <s v="1754310119-193"/>
    <s v="UGAOO Jade Plant"/>
    <s v="UGAOO Jade Plant  (Hybrid, Pack of 1)"/>
    <n v="499"/>
    <n v="335"/>
    <n v="0.32"/>
    <n v="4"/>
    <s v="Small"/>
    <s v=" Succulent"/>
    <s v=" Indoor"/>
    <s v="UGAOO"/>
    <s v="No Returns Allowed?"/>
    <n v="834"/>
    <n v="0.87"/>
    <x v="1"/>
  </r>
  <r>
    <s v="1754310122-194"/>
    <s v="UGAOO Variegated Money Plant"/>
    <s v="UGAOO Variegated Money Plant  (Pack of 1)"/>
    <n v="445"/>
    <n v="335"/>
    <n v="0.24"/>
    <n v="4.4000000000000004"/>
    <s v="Small"/>
    <s v=" Shrub"/>
    <s v=" Indoor"/>
    <s v="UGAOO"/>
    <s v="No Returns Allowed?"/>
    <n v="780"/>
    <n v="0.87"/>
    <x v="1"/>
  </r>
  <r>
    <s v="1754310125-195"/>
    <s v="MAITRA AND SONS Avocado Plant"/>
    <s v="MAITRA AND SONS Avocado Plant  (Hybrid, Pack of 1)"/>
    <n v="299"/>
    <n v="144"/>
    <n v="0.51"/>
    <n v="3.3"/>
    <s v="Small"/>
    <s v=" Fruit"/>
    <s v=" Indoor, Outdoor"/>
    <s v="GreenyOn"/>
    <s v="No Returns Allowed?"/>
    <n v="443"/>
    <n v="0.87"/>
    <x v="1"/>
  </r>
  <r>
    <s v="1754310129-196"/>
    <s v="Plant Paradise Rudraksha Plant"/>
    <s v="Plant Paradise Rudraksha Plant  (Hybrid, Pack of 1)"/>
    <n v="299"/>
    <n v="176"/>
    <n v="0.41"/>
    <n v="3.7"/>
    <s v="Medium"/>
    <s v=" Fruit"/>
    <s v="indoor \outdoor"/>
    <s v="AlaiStore"/>
    <s v="No Returns Allowed?"/>
    <n v="475"/>
    <n v="0.87"/>
    <x v="0"/>
  </r>
  <r>
    <s v="1754310134-197"/>
    <s v="FarmStorey Echeveria Plant, Sedum Plant"/>
    <s v="FarmStorey Echeveria Plant, Sedum Plant  (Hybrid, Pack of 20)"/>
    <n v="1500"/>
    <n v="994"/>
    <n v="0.33"/>
    <n v="3.6"/>
    <s v="Small"/>
    <s v=" Succulent"/>
    <s v="indoor \outdoor"/>
    <s v="FarmStorey"/>
    <s v="No Returns Allowed?"/>
    <n v="2494"/>
    <n v="0.87"/>
    <x v="1"/>
  </r>
  <r>
    <s v="1754310140-198"/>
    <s v="MAITRA AND SONS Peace Lily Plant"/>
    <s v="MAITRA AND SONS Peace Lily Plant  (Hybrid, Pack of 1)"/>
    <n v="399"/>
    <n v="182"/>
    <n v="0.54"/>
    <n v="4"/>
    <s v="Medium"/>
    <s v=" Flower"/>
    <s v=" Indoor, Outdoor"/>
    <s v="MAITRAANDSONS"/>
    <s v="No Returns Allowed?"/>
    <n v="581"/>
    <n v="0.87"/>
    <x v="1"/>
  </r>
  <r>
    <s v="1754310142-199"/>
    <s v="UGAOO Jade Plant"/>
    <s v="UGAOO Jade Plant  (Hybrid, Pack of 1)"/>
    <n v="495"/>
    <n v="331"/>
    <n v="0.33"/>
    <n v="4.0999999999999996"/>
    <s v="Small"/>
    <s v=" Succulent"/>
    <s v=" Indoor"/>
    <s v="UGAOO"/>
    <s v="No Returns Allowed?"/>
    <n v="826"/>
    <n v="0.87"/>
    <x v="1"/>
  </r>
  <r>
    <s v="1754310147-200"/>
    <s v="UGAOO Jade Plant"/>
    <s v="UGAOO Jade Plant  (Pack of 1)"/>
    <n v="349"/>
    <n v="325"/>
    <n v="0.06"/>
    <n v="4"/>
    <s v="Small"/>
    <s v=" Succulent"/>
    <s v=" Indoor"/>
    <s v="UGAOO"/>
    <s v="No Returns Allowed?"/>
    <n v="674"/>
    <n v="0.87"/>
    <x v="0"/>
  </r>
  <r>
    <s v="1754310154-201"/>
    <s v="LaughEarth Custard Apple Plant"/>
    <s v="LaughEarth Custard Apple Plant  (Hybrid, Pack of 1)"/>
    <n v="369"/>
    <n v="132"/>
    <n v="0.64"/>
    <n v="3.5"/>
    <s v="Small"/>
    <s v=" Fruit"/>
    <s v=" Outdoor"/>
    <s v="CloudFarming"/>
    <s v="No Returns Allowed?"/>
    <n v="501"/>
    <n v="0.87"/>
    <x v="1"/>
  </r>
  <r>
    <s v="1754310157-202"/>
    <s v="RUKDA Aloe Vera Plant"/>
    <s v="RUKDA Aloe Vera Plant  (Pack of 2)"/>
    <n v="1000"/>
    <n v="179"/>
    <n v="0.82"/>
    <n v="4"/>
    <s v="Small"/>
    <s v=" Succulent"/>
    <s v="indoor \outdoor"/>
    <s v="NALQUITS"/>
    <s v="No Returns Allowed?"/>
    <n v="1179"/>
    <n v="0.87"/>
    <x v="1"/>
  </r>
  <r>
    <s v="1754310159-203"/>
    <s v="UGAOO Variegated Money Plant"/>
    <s v="UGAOO Variegated Money Plant  (Pack of 1)"/>
    <n v="449"/>
    <n v="384"/>
    <n v="0.14000000000000001"/>
    <n v="4.4000000000000004"/>
    <s v="Small"/>
    <s v=" Shrub"/>
    <s v=" Indoor"/>
    <s v="UGAOO"/>
    <s v="No Returns Allowed?"/>
    <n v="833"/>
    <n v="0.87"/>
    <x v="0"/>
  </r>
  <r>
    <s v="1754310163-204"/>
    <s v="UGAOO Golden Money Plant"/>
    <s v="UGAOO Golden Money Plant  (Pack of 1)"/>
    <n v="449"/>
    <n v="349"/>
    <n v="0.22"/>
    <n v="4.3"/>
    <s v="Small"/>
    <s v=" Shrub"/>
    <s v=" Indoor"/>
    <s v="UGAOO"/>
    <s v="No Returns Allowed?"/>
    <n v="798"/>
    <n v="0.87"/>
    <x v="0"/>
  </r>
  <r>
    <s v="1754310165-205"/>
    <s v="Mohomaya Mango Plant"/>
    <s v="Mohomaya Mango Plant  (Hybrid, Pack of 1)"/>
    <n v="999"/>
    <n v="270"/>
    <n v="0.72"/>
    <n v="4"/>
    <s v="Small"/>
    <s v=" Fruit"/>
    <s v=" Indoor, Outdoor"/>
    <s v="MOHOMAYA"/>
    <s v="No Returns Allowed?"/>
    <n v="1269"/>
    <n v="0.87"/>
    <x v="1"/>
  </r>
  <r>
    <s v="1754310168-206"/>
    <s v="Cloud Farm Pear Plant"/>
    <s v="Cloud Farm Pear Plant  (Hybrid, Pack of 1)"/>
    <n v="499"/>
    <n v="157"/>
    <n v="0.68"/>
    <n v="3.6"/>
    <s v="Medium"/>
    <s v=" Fruit"/>
    <s v=" Outdoor"/>
    <s v="AlaiStore"/>
    <s v="No Returns Allowed?"/>
    <n v="656"/>
    <n v="0.87"/>
    <x v="0"/>
  </r>
  <r>
    <s v="1754310170-207"/>
    <s v="AloGardening Mango Plant"/>
    <s v="AloGardening Mango Plant  (Hybrid, Pack of 1)"/>
    <n v="370"/>
    <n v="193"/>
    <n v="0.47"/>
    <n v="3.1"/>
    <s v="Small"/>
    <s v=" Fruit"/>
    <s v=" Indoor, Outdoor"/>
    <s v="RoyANDRoyTraders"/>
    <s v="No Returns Allowed?"/>
    <n v="563"/>
    <n v="0.87"/>
    <x v="1"/>
  </r>
  <r>
    <s v="1754310173-208"/>
    <s v="MondallNursery Oxalis"/>
    <s v="MondallNursery Oxalis  (Hybrid, Pack of 1)"/>
    <n v="399"/>
    <n v="199"/>
    <n v="0.5"/>
    <n v="1"/>
    <s v="Medium"/>
    <s v=" Flower"/>
    <s v="indoor \outdoor"/>
    <s v="GREENOFGREEN"/>
    <s v="No Returns Allowed?"/>
    <n v="598"/>
    <n v="0.87"/>
    <x v="0"/>
  </r>
  <r>
    <s v="1754310175-209"/>
    <s v="UGAOO Variegated Money Plant"/>
    <s v="UGAOO Variegated Money Plant  (Pack of 1)"/>
    <n v="449"/>
    <n v="384"/>
    <n v="0.14000000000000001"/>
    <n v="4.4000000000000004"/>
    <s v="Small"/>
    <s v=" Shrub"/>
    <s v=" Indoor"/>
    <s v="UGAOO"/>
    <s v="No Returns Allowed?"/>
    <n v="833"/>
    <n v="0.87"/>
    <x v="0"/>
  </r>
  <r>
    <s v="1754310178-210"/>
    <s v="UGAOO Jade Plant"/>
    <s v="UGAOO Jade Plant  (Hybrid, Pack of 1)"/>
    <n v="499"/>
    <n v="335"/>
    <n v="0.32"/>
    <n v="4"/>
    <s v="Small"/>
    <s v=" Succulent"/>
    <s v=" Indoor"/>
    <s v="UGAOO"/>
    <s v="No Returns Allowed?"/>
    <n v="834"/>
    <n v="0.87"/>
    <x v="1"/>
  </r>
  <r>
    <s v="1754310180-211"/>
    <s v="Mohomaya Mango Plant"/>
    <s v="Mohomaya Mango Plant  (Hybrid, Pack of 1)"/>
    <n v="999"/>
    <n v="220"/>
    <n v="0.77"/>
    <n v="4"/>
    <s v="Small"/>
    <s v=" Fruit"/>
    <s v=" Indoor, Outdoor"/>
    <s v="SRDEWAN"/>
    <s v="No Returns Allowed?"/>
    <n v="1219"/>
    <n v="0.87"/>
    <x v="0"/>
  </r>
  <r>
    <s v="1754310183-212"/>
    <s v="Oxygreenplant Shahtoot/Mulberry Plant"/>
    <s v="Oxygreenplant Shahtoot/Mulberry Plant  (Hybrid, Pack of 1)"/>
    <n v="399"/>
    <n v="140"/>
    <n v="0.64"/>
    <n v="3.6"/>
    <s v="Small"/>
    <s v=" Fruit"/>
    <s v="indoor \outdoor"/>
    <s v="OXYGREENPLANT"/>
    <s v="No Returns Allowed?"/>
    <n v="539"/>
    <n v="0.87"/>
    <x v="0"/>
  </r>
  <r>
    <s v="1754310185-213"/>
    <s v="UGAOO Jade Plant"/>
    <s v="UGAOO Jade Plant  (Hybrid, Pack of 1)"/>
    <n v="749"/>
    <n v="516"/>
    <n v="0.31"/>
    <n v="3.6"/>
    <s v="Small"/>
    <s v=" Succulent"/>
    <s v=" Indoor"/>
    <s v="UGAOO"/>
    <s v="No Returns Allowed?"/>
    <n v="1265"/>
    <n v="0.87"/>
    <x v="1"/>
  </r>
  <r>
    <s v="1754310188-214"/>
    <s v="UGAOO Njoy Money Plant"/>
    <s v="UGAOO Njoy Money Plant  (Hybrid, Pack of 1)"/>
    <n v="549"/>
    <n v="388"/>
    <n v="0.28999999999999998"/>
    <n v="4.3"/>
    <s v="Small"/>
    <s v=" Foliage"/>
    <s v=" Indoor"/>
    <s v="UGAOO"/>
    <s v="No Returns Allowed?"/>
    <n v="937"/>
    <n v="0.87"/>
    <x v="0"/>
  </r>
  <r>
    <s v="1754310190-215"/>
    <s v="Click to purchase Madhu Kamini Plant"/>
    <s v="Click to purchase Madhu Kamini Plant  (Hybrid, Pack of 1)"/>
    <n v="270"/>
    <n v="140"/>
    <n v="0.48"/>
    <n v="3.7"/>
    <s v="Small"/>
    <s v=" Flower"/>
    <s v="indoor \outdoor"/>
    <s v="RoyANDRoyTraders"/>
    <s v="No Returns Allowed?"/>
    <n v="410"/>
    <n v="0.87"/>
    <x v="0"/>
  </r>
  <r>
    <s v="1754310193-216"/>
    <s v="Aquinnah Black Pepper Plant"/>
    <s v="Aquinnah Black Pepper Plant  (Hybrid, Pack of 1)"/>
    <n v="499"/>
    <n v="137"/>
    <n v="0.72"/>
    <n v="3.5"/>
    <s v="Small"/>
    <s v=" Herb"/>
    <s v="indoor \outdoor"/>
    <s v="AlaiStore"/>
    <s v="No Returns Allowed?"/>
    <n v="636"/>
    <n v="0.87"/>
    <x v="0"/>
  </r>
  <r>
    <s v="1754310195-217"/>
    <s v="Krishna all time mango plant Mango Plant"/>
    <s v="Krishna all time mango plant Mango Plant  (Hybrid, Pack of 2)"/>
    <n v="595"/>
    <n v="198"/>
    <n v="0.66"/>
    <n v="3.1"/>
    <s v="Small"/>
    <s v=" Fruit"/>
    <s v="indoor \outdoor"/>
    <s v="NALQUITS"/>
    <s v="No Returns Allowed?"/>
    <n v="793"/>
    <n v="0.87"/>
    <x v="0"/>
  </r>
  <r>
    <s v="1754310198-218"/>
    <s v="Gabbro Crasulla Ovata Plant"/>
    <s v="Gabbro Crasulla Ovata Plant  (Pack of 1)"/>
    <n v="999"/>
    <n v="222"/>
    <n v="0.77"/>
    <n v="4.3"/>
    <s v="Medium"/>
    <s v=" Succulent"/>
    <s v="indoor \outdoor"/>
    <s v="Gabbro"/>
    <s v="No Returns Allowed?"/>
    <n v="1221"/>
    <n v="0.87"/>
    <x v="1"/>
  </r>
  <r>
    <s v="1754310200-219"/>
    <s v="UGAOO Golden Money Plant"/>
    <s v="UGAOO Golden Money Plant  (Pack of 1)"/>
    <n v="449"/>
    <n v="349"/>
    <n v="0.22"/>
    <n v="4.3"/>
    <s v="Small"/>
    <s v=" Shrub"/>
    <s v=" Indoor"/>
    <s v="UGAOO"/>
    <s v="No Returns Allowed?"/>
    <n v="798"/>
    <n v="0.87"/>
    <x v="1"/>
  </r>
  <r>
    <s v="1754310203-220"/>
    <s v="UGAOO Golden Money Plant"/>
    <s v="UGAOO Golden Money Plant  (Pack of 1)"/>
    <n v="449"/>
    <n v="349"/>
    <n v="0.22"/>
    <n v="4.3"/>
    <s v="Small"/>
    <s v=" Shrub"/>
    <s v=" Indoor"/>
    <s v="UGAOO"/>
    <s v="No Returns Allowed?"/>
    <n v="798"/>
    <n v="0.87"/>
    <x v="1"/>
  </r>
  <r>
    <s v="1754310205-221"/>
    <s v="Mohomaya Hibiscus Plant"/>
    <s v="Mohomaya Hibiscus Plant  (Hybrid, Pack of 1)"/>
    <n v="999"/>
    <n v="283"/>
    <n v="0.71"/>
    <n v="4"/>
    <s v="Small"/>
    <s v=" Flower"/>
    <s v=" Indoor, Outdoor"/>
    <s v="GLOBQRO"/>
    <s v="No Returns Allowed?"/>
    <n v="1282"/>
    <n v="0.87"/>
    <x v="1"/>
  </r>
  <r>
    <s v="1754310208-222"/>
    <s v="greenhousestore Coconut Plant"/>
    <s v="greenhousestore Coconut Plant  (Hybrid, Pack of 1)"/>
    <n v="599"/>
    <n v="179"/>
    <n v="0.7"/>
    <n v="3.9"/>
    <s v="Small"/>
    <s v=" Fruit"/>
    <s v="indoor \outdoor"/>
    <s v="Barhloew"/>
    <s v="No Returns Allowed?"/>
    <n v="778"/>
    <n v="0.87"/>
    <x v="0"/>
  </r>
  <r>
    <s v="1754310210-223"/>
    <s v="UGAOO Jade Plant"/>
    <s v="UGAOO Jade Plant  (Hybrid, Pack of 1)"/>
    <n v="499"/>
    <n v="424"/>
    <n v="0.15"/>
    <n v="4.3"/>
    <s v="Small"/>
    <s v=" Succulent"/>
    <s v=" Indoor"/>
    <s v="UGAOO"/>
    <s v="No Returns Allowed?"/>
    <n v="923"/>
    <n v="0.87"/>
    <x v="1"/>
  </r>
  <r>
    <s v="1754310213-224"/>
    <s v="UGAOO Variegated Money Plant"/>
    <s v="UGAOO Variegated Money Plant  (Pack of 1)"/>
    <n v="449"/>
    <n v="359"/>
    <n v="0.2"/>
    <n v="4.4000000000000004"/>
    <s v="Small"/>
    <s v=" Shrub"/>
    <s v=" Indoor"/>
    <s v="UGAOO"/>
    <s v="No Returns Allowed?"/>
    <n v="808"/>
    <n v="0.87"/>
    <x v="1"/>
  </r>
  <r>
    <s v="1754310215-225"/>
    <s v="Aquinnah Nutmeg Plant"/>
    <s v="Aquinnah Nutmeg Plant  (Hybrid, Pack of 1)"/>
    <n v="499"/>
    <n v="135"/>
    <n v="0.72"/>
    <n v="3.2"/>
    <s v="Small"/>
    <s v=" Fruit"/>
    <s v="indoor \outdoor"/>
    <s v="Agacha"/>
    <s v="No Returns Allowed?"/>
    <n v="634"/>
    <n v="0.87"/>
    <x v="0"/>
  </r>
  <r>
    <s v="1754310219-226"/>
    <s v="Greenium Aglaonema Plant"/>
    <s v="Greenium Aglaonema Plant  (Hybrid, Pack of 1)"/>
    <n v="699"/>
    <n v="212"/>
    <n v="0.69"/>
    <n v="4"/>
    <s v="Medium"/>
    <s v=" Air purifier plant"/>
    <s v=" Indoor, Outdoor"/>
    <s v="Greenium"/>
    <s v="No Returns Allowed?"/>
    <n v="911"/>
    <n v="0.87"/>
    <x v="0"/>
  </r>
  <r>
    <s v="1754310222-227"/>
    <s v="greenhousestore Cashew Apple Plant"/>
    <s v="greenhousestore Cashew Apple Plant  (Hybrid, Pack of 1)"/>
    <n v="598"/>
    <n v="147"/>
    <n v="0.75"/>
    <n v="3.6"/>
    <s v="Small"/>
    <s v=" Fruit"/>
    <s v="indoor \outdoor"/>
    <s v="AlaiStore"/>
    <s v="No Returns Allowed?"/>
    <n v="745"/>
    <n v="0.87"/>
    <x v="0"/>
  </r>
  <r>
    <s v="1754310224-228"/>
    <s v="pomgardening Apple Plant"/>
    <s v="pomgardening Apple Plant  (Hybrid, Pack of 1)"/>
    <n v="759"/>
    <n v="120"/>
    <n v="0.84"/>
    <n v="3.5"/>
    <s v="Small"/>
    <s v=" Fruit"/>
    <s v=" Outdoor"/>
    <s v="Sarkarplantenterprise"/>
    <s v="No Returns Allowed?"/>
    <n v="879"/>
    <n v="0.87"/>
    <x v="0"/>
  </r>
  <r>
    <s v="1754310227-229"/>
    <s v="UGAOO Jade Plant"/>
    <s v="UGAOO Jade Plant  (Hybrid, Pack of 1)"/>
    <n v="449"/>
    <n v="335"/>
    <n v="0.25"/>
    <n v="4"/>
    <s v="Small"/>
    <s v=" Succulent"/>
    <s v=" Indoor"/>
    <s v="UGAOO"/>
    <s v="No Returns Allowed?"/>
    <n v="784"/>
    <n v="0.87"/>
    <x v="1"/>
  </r>
  <r>
    <s v="1754310229-230"/>
    <s v="UGAOO Jade Plant"/>
    <s v="UGAOO Jade Plant  (Hybrid, Pack of 1)"/>
    <n v="499"/>
    <n v="426"/>
    <n v="0.14000000000000001"/>
    <n v="4.2"/>
    <s v="Small"/>
    <s v=" Succulent"/>
    <s v=" Indoor"/>
    <s v="UGAOO"/>
    <s v="No Returns Allowed?"/>
    <n v="925"/>
    <n v="0.87"/>
    <x v="0"/>
  </r>
  <r>
    <s v="1754310232-231"/>
    <s v="Agroholic Traders Money Plant"/>
    <s v="Agroholic Traders Money Plant  (Pack of 1)"/>
    <n v="490"/>
    <n v="142"/>
    <n v="0.71"/>
    <n v="3.8"/>
    <s v="Small"/>
    <s v=" Foliage"/>
    <s v="indoor \outdoor"/>
    <s v="MAQINPLANTHOUSE"/>
    <s v="No Returns Allowed?"/>
    <n v="632"/>
    <n v="0.87"/>
    <x v="1"/>
  </r>
  <r>
    <s v="1754310234-232"/>
    <s v="HYBRID Jambu Bira Plant, Kak Jam Plant, Jamun Plant, Wh..."/>
    <s v="HYBRID Jambu Bira Plant, Kak Jam Plant, Jamun Plant, White Jamun Plant  (Hybrid, Pack of 1)"/>
    <n v="399"/>
    <n v="195"/>
    <n v="0.51"/>
    <n v="4"/>
    <s v="Small"/>
    <s v=" Fruit"/>
    <s v="indoor \outdoor, Outdoor, Indoor"/>
    <s v="GLOBQRO"/>
    <s v="No Returns Allowed?"/>
    <n v="594"/>
    <n v="0.87"/>
    <x v="0"/>
  </r>
  <r>
    <s v="1754310237-233"/>
    <s v="UGAOO Jade Plant"/>
    <s v="UGAOO Jade Plant  (Hybrid, Pack of 1)"/>
    <n v="499"/>
    <n v="335"/>
    <n v="0.32"/>
    <n v="4"/>
    <s v="Small"/>
    <s v=" Succulent"/>
    <s v=" Indoor"/>
    <s v="UGAOO"/>
    <s v="No Returns Allowed?"/>
    <n v="834"/>
    <n v="0.87"/>
    <x v="1"/>
  </r>
  <r>
    <s v="1754310239-234"/>
    <s v="UGAOO Variegated Money Plant"/>
    <s v="UGAOO Variegated Money Plant  (Pack of 1)"/>
    <n v="445"/>
    <n v="335"/>
    <n v="0.24"/>
    <n v="4.4000000000000004"/>
    <s v="Small"/>
    <s v=" Shrub"/>
    <s v=" Indoor"/>
    <s v="UGAOO"/>
    <s v="No Returns Allowed?"/>
    <n v="780"/>
    <n v="0.87"/>
    <x v="1"/>
  </r>
  <r>
    <s v="1754310242-235"/>
    <s v="GreenHavenn Mahogany Plant"/>
    <s v="GreenHavenn Mahogany Plant  (Hybrid, Pack of 3)"/>
    <n v="499"/>
    <n v="172"/>
    <n v="0.65"/>
    <n v="4"/>
    <s v="Medium"/>
    <s v=" Tree"/>
    <s v=" Outdoor"/>
    <s v="GREENOFGREEN"/>
    <s v="No Returns Allowed?"/>
    <n v="671"/>
    <n v="0.87"/>
    <x v="0"/>
  </r>
  <r>
    <s v="1754310244-236"/>
    <s v="FSK Kiwi Plant"/>
    <s v="FSK Kiwi Plant  (Hybrid, Pack of 1)"/>
    <n v="499"/>
    <n v="135"/>
    <n v="0.72"/>
    <n v="3.4"/>
    <s v="Medium"/>
    <s v=" Fruit"/>
    <s v=" Outdoor"/>
    <s v="Digitalgreenpar"/>
    <s v="No Returns Allowed?"/>
    <n v="634"/>
    <n v="0.87"/>
    <x v="0"/>
  </r>
  <r>
    <s v="1754310247-237"/>
    <s v="UGAOO Snake Plant"/>
    <s v="UGAOO Snake Plant  (Pack of 1)"/>
    <n v="499"/>
    <n v="283"/>
    <n v="0.43"/>
    <n v="4.3"/>
    <s v="Small"/>
    <s v=" Shrub"/>
    <s v=" Indoor"/>
    <s v="UGAOO"/>
    <s v="No Returns Allowed?"/>
    <n v="782"/>
    <n v="0.87"/>
    <x v="0"/>
  </r>
  <r>
    <s v="1754310251-238"/>
    <s v="PEEPALSFARM Betel Leaf Plant"/>
    <s v="PEEPALSFARM Betel Leaf Plant  (Hybrid, Pack of 1)"/>
    <n v="499"/>
    <n v="161"/>
    <n v="0.67"/>
    <n v="3.1"/>
    <s v="Small"/>
    <s v=" Herb"/>
    <s v="indoor \outdoor"/>
    <s v="AYUSHGREENNURSERY"/>
    <s v="No Returns Allowed?"/>
    <n v="660"/>
    <n v="0.87"/>
    <x v="0"/>
  </r>
  <r>
    <s v="1754310253-239"/>
    <s v="UGAOO Jade Plant"/>
    <s v="UGAOO Jade Plant  (Hybrid, Pack of 1)"/>
    <n v="495"/>
    <n v="331"/>
    <n v="0.33"/>
    <n v="4.0999999999999996"/>
    <s v="Small"/>
    <s v=" Succulent"/>
    <s v=" Indoor"/>
    <s v="UGAOO"/>
    <s v="No Returns Allowed?"/>
    <n v="826"/>
    <n v="0.87"/>
    <x v="1"/>
  </r>
  <r>
    <s v="1754310256-240"/>
    <s v="UGAOO Jade Plant"/>
    <s v="UGAOO Jade Plant  (Pack of 1)"/>
    <n v="349"/>
    <n v="325"/>
    <n v="0.06"/>
    <n v="4"/>
    <s v="Small"/>
    <s v=" Succulent"/>
    <s v=" Indoor"/>
    <s v="UGAOO"/>
    <s v="No Returns Allowed?"/>
    <n v="674"/>
    <n v="0.87"/>
    <x v="1"/>
  </r>
  <r>
    <s v="1754310261-241"/>
    <s v="Cloud Farm Clove Plant"/>
    <s v="Cloud Farm Clove Plant  (Hybrid, Pack of 5)"/>
    <n v="499"/>
    <n v="212"/>
    <n v="0.56999999999999995"/>
    <n v="4"/>
    <s v="Medium"/>
    <s v=" Herb"/>
    <s v=" Outdoor"/>
    <s v="CloudFarming"/>
    <s v="No Returns Allowed?"/>
    <n v="711"/>
    <n v="0.87"/>
    <x v="1"/>
  </r>
  <r>
    <s v="1754310263-242"/>
    <s v="ABEFARIYA Areca Palm"/>
    <s v="ABEFARIYA Areca Palm  (Hybrid, Pack of 1)"/>
    <n v="1300"/>
    <n v="169"/>
    <n v="0.87"/>
    <n v="4"/>
    <s v="Small"/>
    <s v=" Air purifier plant"/>
    <s v="indoor \outdoor"/>
    <s v="Storynursery"/>
    <s v="No Returns Allowed?"/>
    <n v="1469"/>
    <n v="0.87"/>
    <x v="1"/>
  </r>
  <r>
    <s v="1754310266-243"/>
    <s v="ABEFARIYA Clove Plant"/>
    <s v="ABEFARIYA Clove Plant  (Hybrid, Pack of 1)"/>
    <n v="599"/>
    <n v="134"/>
    <n v="0.77"/>
    <n v="3.5"/>
    <s v="Small"/>
    <s v=" Herb"/>
    <s v=" Outdoor"/>
    <s v="AlaiStore"/>
    <s v="No Returns Allowed?"/>
    <n v="733"/>
    <n v="0.86"/>
    <x v="1"/>
  </r>
  <r>
    <s v="1754310268-244"/>
    <s v="UGAOO Golden Money Plant"/>
    <s v="UGAOO Golden Money Plant  (Pack of 1)"/>
    <n v="449"/>
    <n v="349"/>
    <n v="0.22"/>
    <n v="4.3"/>
    <s v="Small"/>
    <s v=" Shrub"/>
    <s v=" Indoor"/>
    <s v="UGAOO"/>
    <s v="No Returns Allowed?"/>
    <n v="798"/>
    <n v="0.86"/>
    <x v="1"/>
  </r>
  <r>
    <s v="1754310271-245"/>
    <s v="Cloud Farm Jade Plant"/>
    <s v="Cloud Farm Jade Plant  (Hybrid, Pack of 1)"/>
    <n v="199"/>
    <n v="147"/>
    <n v="0.26"/>
    <n v="4"/>
    <s v="Small"/>
    <s v=" Fruit"/>
    <s v=" Outdoor"/>
    <s v="CloudFarming"/>
    <s v="No Returns Allowed?"/>
    <n v="346"/>
    <n v="0.86"/>
    <x v="1"/>
  </r>
  <r>
    <s v="1754310274-246"/>
    <s v="ABC Areca Palm"/>
    <s v="ABC Areca Palm  (Pack of 1)"/>
    <n v="399"/>
    <n v="157"/>
    <n v="0.6"/>
    <n v="1.5"/>
    <s v="Small"/>
    <s v=" Shrub"/>
    <s v="indoor \outdoor"/>
    <s v="MiracleGardenn"/>
    <s v="No Returns Allowed?"/>
    <n v="556"/>
    <n v="0.86"/>
    <x v="0"/>
  </r>
  <r>
    <s v="1754310276-247"/>
    <s v="ABC Areca Palm"/>
    <s v="ABC Areca Palm  (Pack of 1)"/>
    <n v="300"/>
    <n v="149"/>
    <n v="0.5"/>
    <n v="1.8"/>
    <s v="Medium"/>
    <s v=" Bamboo"/>
    <s v="indoor \outdoor"/>
    <s v="NarumanamGarden"/>
    <s v="No Returns Allowed?"/>
    <n v="449"/>
    <n v="0.86"/>
    <x v="0"/>
  </r>
  <r>
    <s v="1754310278-248"/>
    <s v="Cloud Farm Clove Plant"/>
    <s v="Cloud Farm Clove Plant  (Hybrid, Pack of 5)"/>
    <n v="399"/>
    <n v="290"/>
    <n v="0.27"/>
    <n v="4"/>
    <s v="Medium"/>
    <s v=" Herb"/>
    <s v=" Outdoor"/>
    <s v="CloudFarming"/>
    <s v="No Returns Allowed?"/>
    <n v="689"/>
    <n v="0.86"/>
    <x v="0"/>
  </r>
  <r>
    <s v="1754310282-249"/>
    <s v="UGAOO Variegated Money Plant"/>
    <s v="UGAOO Variegated Money Plant  (Pack of 1)"/>
    <n v="449"/>
    <n v="384"/>
    <n v="0.14000000000000001"/>
    <n v="4.4000000000000004"/>
    <s v="Small"/>
    <s v=" Shrub"/>
    <s v=" Indoor"/>
    <s v="UGAOO"/>
    <s v="No Returns Allowed?"/>
    <n v="833"/>
    <n v="0.86"/>
    <x v="0"/>
  </r>
  <r>
    <s v="1754310284-250"/>
    <s v="UGAOO Jade Plant"/>
    <s v="UGAOO Jade Plant  (Hybrid, Pack of 1)"/>
    <n v="499"/>
    <n v="335"/>
    <n v="0.32"/>
    <n v="4"/>
    <s v="Small"/>
    <s v=" Succulent"/>
    <s v=" Indoor"/>
    <s v="UGAOO"/>
    <s v="No Returns Allowed?"/>
    <n v="834"/>
    <n v="0.86"/>
    <x v="1"/>
  </r>
  <r>
    <s v="1754310287-251"/>
    <s v="PLANTTOOZS Clove Plant"/>
    <s v="PLANTTOOZS Clove Plant  (Hybrid, Pack of 1)"/>
    <n v="339"/>
    <n v="217"/>
    <n v="0.35"/>
    <n v="2.8"/>
    <s v="Small"/>
    <s v=" Herb"/>
    <s v=" Indoor, Outdoor"/>
    <s v="PLANTTOOZS"/>
    <s v="No Returns Allowed?"/>
    <n v="556"/>
    <n v="0.86"/>
    <x v="0"/>
  </r>
  <r>
    <s v="1754310290-252"/>
    <s v="GreenyOn ZZ Plant"/>
    <s v="GreenyOn ZZ Plant  (Hybrid, Pack of 1)"/>
    <n v="207"/>
    <n v="165"/>
    <n v="0.2"/>
    <n v="4"/>
    <s v="Medium"/>
    <s v=" Herb"/>
    <s v=" Outdoor"/>
    <s v="EarthAngel"/>
    <s v="No Returns Allowed?"/>
    <n v="372"/>
    <n v="0.86"/>
    <x v="1"/>
  </r>
  <r>
    <s v="1754310292-253"/>
    <s v="UGAOO Jade Plant"/>
    <s v="UGAOO Jade Plant  (Hybrid, Pack of 1)"/>
    <n v="749"/>
    <n v="516"/>
    <n v="0.31"/>
    <n v="3.6"/>
    <s v="Small"/>
    <s v=" Succulent"/>
    <s v=" Indoor"/>
    <s v="UGAOO"/>
    <s v="No Returns Allowed?"/>
    <n v="1265"/>
    <n v="0.86"/>
    <x v="0"/>
  </r>
  <r>
    <s v="1754310295-254"/>
    <s v="UGAOO Njoy Money Plant"/>
    <s v="UGAOO Njoy Money Plant  (Hybrid, Pack of 1)"/>
    <n v="549"/>
    <n v="388"/>
    <n v="0.28999999999999998"/>
    <n v="4.3"/>
    <s v="Small"/>
    <s v=" Foliage"/>
    <s v=" Indoor"/>
    <s v="UGAOO"/>
    <s v="No Returns Allowed?"/>
    <n v="937"/>
    <n v="0.86"/>
    <x v="1"/>
  </r>
  <r>
    <s v="1754310297-255"/>
    <s v="Augadh Orange Plant"/>
    <s v="Augadh Orange Plant  (Hybrid, Pack of 1)"/>
    <n v="339"/>
    <n v="135"/>
    <n v="0.6"/>
    <n v="3.7"/>
    <s v="Medium"/>
    <s v=" Fruit"/>
    <s v=" Outdoor"/>
    <s v="SKYTCOM"/>
    <s v="No Returns Allowed?"/>
    <n v="474"/>
    <n v="0.86"/>
    <x v="1"/>
  </r>
  <r>
    <s v="1754310300-256"/>
    <s v="My Dream Nursery Syngonium Plant"/>
    <s v="My Dream Nursery Syngonium Plant  (Hybrid, Pack of 1)"/>
    <n v="249"/>
    <n v="179"/>
    <n v="0.28000000000000003"/>
    <n v="2.5"/>
    <s v="Small"/>
    <s v=" Foliage"/>
    <s v=" Indoor"/>
    <s v="Storynursery"/>
    <s v="No Returns Allowed?"/>
    <n v="428"/>
    <n v="0.86"/>
    <x v="1"/>
  </r>
  <r>
    <s v="1754310303-257"/>
    <s v="Cloud Farm Clove Plant"/>
    <s v="Cloud Farm Clove Plant  (Hybrid, Pack of 1)"/>
    <n v="399"/>
    <n v="142"/>
    <n v="0.64"/>
    <n v="4"/>
    <s v="Medium"/>
    <s v=" Flower"/>
    <s v=" Outdoor"/>
    <s v="GreenyOn"/>
    <s v="No Returns Allowed?"/>
    <n v="541"/>
    <n v="0.86"/>
    <x v="1"/>
  </r>
  <r>
    <s v="1754310305-258"/>
    <s v="Cloud Farm ZZ Plant"/>
    <s v="Cloud Farm ZZ Plant  (Hybrid, Pack of 1)"/>
    <n v="199"/>
    <n v="137"/>
    <n v="0.31"/>
    <n v="4"/>
    <s v="Medium"/>
    <s v=" Herb"/>
    <s v=" Outdoor"/>
    <s v="CloudFarming"/>
    <s v="No Returns Allowed?"/>
    <n v="336"/>
    <n v="0.86"/>
    <x v="1"/>
  </r>
  <r>
    <s v="1754310308-259"/>
    <s v="UGAOO Golden Money Plant"/>
    <s v="UGAOO Golden Money Plant  (Pack of 1)"/>
    <n v="449"/>
    <n v="349"/>
    <n v="0.22"/>
    <n v="4.3"/>
    <s v="Small"/>
    <s v=" Shrub"/>
    <s v=" Indoor"/>
    <s v="UGAOO"/>
    <s v="No Returns Allowed?"/>
    <n v="798"/>
    <n v="0.86"/>
    <x v="0"/>
  </r>
  <r>
    <s v="1754310311-260"/>
    <s v="UGAOO Golden Money Plant"/>
    <s v="UGAOO Golden Money Plant  (Pack of 1)"/>
    <n v="449"/>
    <n v="349"/>
    <n v="0.22"/>
    <n v="4.3"/>
    <s v="Small"/>
    <s v=" Shrub"/>
    <s v=" Indoor"/>
    <s v="UGAOO"/>
    <s v="No Returns Allowed?"/>
    <n v="798"/>
    <n v="0.86"/>
    <x v="0"/>
  </r>
  <r>
    <s v="1754310313-261"/>
    <s v="Cloud Farm Jade Plant"/>
    <s v="Cloud Farm Jade Plant  (Hybrid, Pack of 1)"/>
    <n v="199"/>
    <n v="135"/>
    <n v="0.32"/>
    <n v="4"/>
    <s v="Small"/>
    <s v=" Fruit"/>
    <s v=" Outdoor"/>
    <s v="CloudFarming"/>
    <s v="No Returns Allowed?"/>
    <n v="334"/>
    <n v="0.86"/>
    <x v="0"/>
  </r>
  <r>
    <s v="1754310315-262"/>
    <s v="Cloud Farm Jade Plant"/>
    <s v="Cloud Farm Jade Plant  (Hybrid, Pack of 1)"/>
    <n v="199"/>
    <n v="140"/>
    <n v="0.28999999999999998"/>
    <n v="4"/>
    <s v="Small"/>
    <s v=" Fruit"/>
    <s v=" Outdoor"/>
    <s v="CloudFarming"/>
    <s v="No Returns Allowed?"/>
    <n v="339"/>
    <n v="0.86"/>
    <x v="0"/>
  </r>
  <r>
    <s v="1754310318-263"/>
    <s v="UGAOO Jade Plant"/>
    <s v="UGAOO Jade Plant  (Hybrid, Pack of 1)"/>
    <n v="499"/>
    <n v="424"/>
    <n v="0.15"/>
    <n v="4.3"/>
    <s v="Small"/>
    <s v=" Succulent"/>
    <s v=" Indoor"/>
    <s v="UGAOO"/>
    <s v="No Returns Allowed?"/>
    <n v="923"/>
    <n v="0.86"/>
    <x v="0"/>
  </r>
  <r>
    <s v="1754310320-264"/>
    <s v="UGAOO Variegated Money Plant"/>
    <s v="UGAOO Variegated Money Plant  (Pack of 1)"/>
    <n v="449"/>
    <n v="359"/>
    <n v="0.2"/>
    <n v="4"/>
    <s v="Small"/>
    <s v=" Shrub"/>
    <s v=" Indoor"/>
    <s v="UGAOO"/>
    <s v="No Returns Allowed?"/>
    <n v="808"/>
    <n v="0.86"/>
    <x v="0"/>
  </r>
  <r>
    <s v="1754310323-265"/>
    <s v="UGAOO Two Layer Bamboo Plant"/>
    <s v="UGAOO Two Layer Bamboo Plant  (Pack of 1)"/>
    <n v="399"/>
    <n v="310"/>
    <n v="0.22"/>
    <n v="4.3"/>
    <s v="Small"/>
    <s v=" Bamboo"/>
    <s v=" Indoor"/>
    <s v="UGAOO"/>
    <s v="No Returns Allowed?"/>
    <n v="709"/>
    <n v="0.86"/>
    <x v="0"/>
  </r>
  <r>
    <s v="1754310326-266"/>
    <s v="Oaul Store Areca Plam"/>
    <s v="Oaul Store Areca Plam  (Hybrid, Pack of 1)"/>
    <n v="357"/>
    <n v="149"/>
    <n v="0.57999999999999996"/>
    <n v="1.8"/>
    <s v="Small"/>
    <s v=" Bonsai"/>
    <s v="indoor \outdoor"/>
    <s v="NirmalNursery"/>
    <s v="No Returns Allowed?"/>
    <n v="506"/>
    <n v="0.86"/>
    <x v="1"/>
  </r>
  <r>
    <s v="1754310328-267"/>
    <s v="MATARANURSERY Agarwood Plant"/>
    <s v="MATARANURSERY Agarwood Plant  (Hybrid, Pack of 1)"/>
    <n v="399"/>
    <n v="169"/>
    <n v="0.56999999999999995"/>
    <n v="3.3"/>
    <s v="Small"/>
    <s v=" Tree"/>
    <s v=" Outdoor"/>
    <s v="AlaiStore"/>
    <s v="No Returns Allowed?"/>
    <n v="568"/>
    <n v="0.86"/>
    <x v="0"/>
  </r>
  <r>
    <s v="1754310331-268"/>
    <s v="Flipkart SmartBuy Two Layer Bamboo Plant"/>
    <s v="Flipkart SmartBuy Two Layer Bamboo Plant  (Hybrid, Pack of 1)"/>
    <n v="999"/>
    <n v="345"/>
    <n v="0.65"/>
    <n v="4.2"/>
    <s v="Small"/>
    <s v=" Bamboo"/>
    <s v="indoor \outdoor, Indoor"/>
    <s v="AGAMI"/>
    <s v="No Returns Allowed?"/>
    <n v="1344"/>
    <n v="0.86"/>
    <x v="1"/>
  </r>
  <r>
    <s v="1754310334-269"/>
    <s v="UGAOO Jade Plant"/>
    <s v="UGAOO Jade Plant  (Hybrid, Pack of 1)"/>
    <n v="449"/>
    <n v="335"/>
    <n v="0.25"/>
    <n v="4"/>
    <s v="Small"/>
    <s v=" Succulent"/>
    <s v=" Indoor"/>
    <s v="UGAOO"/>
    <s v="No Returns Allowed?"/>
    <n v="784"/>
    <n v="0.86"/>
    <x v="0"/>
  </r>
  <r>
    <s v="1754310336-270"/>
    <s v="UGAOO Jade Plant"/>
    <s v="UGAOO Jade Plant  (Hybrid, Pack of 1)"/>
    <n v="499"/>
    <n v="426"/>
    <n v="0.14000000000000001"/>
    <n v="4.2"/>
    <s v="Small"/>
    <s v=" Succulent"/>
    <s v=" Indoor"/>
    <s v="UGAOO"/>
    <s v="No Returns Allowed?"/>
    <n v="925"/>
    <n v="0.86"/>
    <x v="0"/>
  </r>
  <r>
    <s v="1754310339-271"/>
    <s v="Cloud Farm Platycladus/Morpankhi Plant"/>
    <s v="Cloud Farm Platycladus/Morpankhi Plant  (Hybrid, Pack of 2)"/>
    <n v="399"/>
    <n v="203"/>
    <n v="0.49"/>
    <n v="1.3"/>
    <s v="Medium"/>
    <s v=" Foliage"/>
    <s v=" Outdoor"/>
    <s v="AlaiStore"/>
    <s v="No Returns Allowed?"/>
    <n v="602"/>
    <n v="0.86"/>
    <x v="1"/>
  </r>
  <r>
    <s v="1754310342-272"/>
    <s v="DRACENAPLANT RAJDHANINURSERY Dracaena Plant"/>
    <s v="DRACENAPLANT RAJDHANINURSERY Dracaena Plant  (Hybrid, Pack of 1)"/>
    <n v="800"/>
    <n v="140"/>
    <n v="0.82"/>
    <n v="3.2"/>
    <s v="Large"/>
    <s v=" Tree"/>
    <s v="indoor \outdoor"/>
    <s v="SKYTCOM"/>
    <s v="No Returns Allowed?"/>
    <n v="940"/>
    <n v="0.86"/>
    <x v="0"/>
  </r>
  <r>
    <s v="1754310344-273"/>
    <s v="UGAOO Jade Plant"/>
    <s v="UGAOO Jade Plant  (Hybrid, Pack of 1)"/>
    <n v="499"/>
    <n v="335"/>
    <n v="0.32"/>
    <n v="4"/>
    <s v="Small"/>
    <s v=" Succulent"/>
    <s v=" Indoor"/>
    <s v="UGAOO"/>
    <s v="No Returns Allowed?"/>
    <n v="834"/>
    <n v="0.86"/>
    <x v="0"/>
  </r>
  <r>
    <s v="1754310347-274"/>
    <s v="UGAOO Variegated Money Plant"/>
    <s v="UGAOO Variegated Money Plant  (Pack of 1)"/>
    <n v="445"/>
    <n v="335"/>
    <n v="0.24"/>
    <n v="4.4000000000000004"/>
    <s v="Small"/>
    <s v=" Shrub"/>
    <s v=" Indoor"/>
    <s v="UGAOO"/>
    <s v="No Returns Allowed?"/>
    <n v="780"/>
    <n v="0.86"/>
    <x v="1"/>
  </r>
  <r>
    <s v="1754310349-275"/>
    <s v="Decorate The World Areca Palm"/>
    <s v="Decorate The World Areca Palm  (Hybrid, Pack of 1)"/>
    <n v="399"/>
    <n v="151"/>
    <n v="0.62"/>
    <n v="3.1"/>
    <s v="Medium"/>
    <s v=" Bamboo"/>
    <s v="indoor \outdoor"/>
    <s v="MINATITRADERS"/>
    <s v="No Returns Allowed?"/>
    <n v="550"/>
    <n v="0.86"/>
    <x v="0"/>
  </r>
  <r>
    <s v="1754310352-276"/>
    <s v="PLANTTOOZS Clove Plant"/>
    <s v="PLANTTOOZS Clove Plant  (Hybrid, Pack of 1)"/>
    <n v="499"/>
    <n v="150"/>
    <n v="0.69"/>
    <n v="4"/>
    <s v="Medium"/>
    <s v=" Herb"/>
    <s v=" Outdoor"/>
    <s v="AlaiStore"/>
    <s v="No Returns Allowed?"/>
    <n v="649"/>
    <n v="0.86"/>
    <x v="0"/>
  </r>
  <r>
    <s v="1754310354-277"/>
    <s v="Exotica HRMN Grafted Apple Plant"/>
    <s v="Exotica HRMN Grafted Apple Plant  (Hybrid, Pack of 1)"/>
    <n v="599"/>
    <n v="158"/>
    <n v="0.73"/>
    <n v="3.2"/>
    <s v="Medium"/>
    <s v=" Fruit"/>
    <s v=" Outdoor"/>
    <s v="MAQINPLANTHOUSE"/>
    <s v="No Returns Allowed?"/>
    <n v="757"/>
    <n v="0.86"/>
    <x v="1"/>
  </r>
  <r>
    <s v="1754310357-278"/>
    <s v="Cloud Farm Apple Plant"/>
    <s v="Cloud Farm Apple Plant  (Hybrid, Pack of 1)"/>
    <n v="299"/>
    <n v="145"/>
    <n v="0.51"/>
    <n v="3.1"/>
    <s v="Medium"/>
    <s v=" Fruit"/>
    <s v=" Outdoor"/>
    <s v="AlaiStore"/>
    <s v="No Returns Allowed?"/>
    <n v="444"/>
    <n v="0.86"/>
    <x v="1"/>
  </r>
  <r>
    <s v="1754310360-279"/>
    <s v="UGAOO Jade Plant"/>
    <s v="UGAOO Jade Plant  (Hybrid, Pack of 1)"/>
    <n v="495"/>
    <n v="331"/>
    <n v="0.33"/>
    <n v="4.0999999999999996"/>
    <s v="Small"/>
    <s v=" Succulent"/>
    <s v=" Indoor"/>
    <s v="UGAOO"/>
    <s v="No Returns Allowed?"/>
    <n v="826"/>
    <n v="0.86"/>
    <x v="0"/>
  </r>
  <r>
    <s v="1754310362-280"/>
    <s v="UGAOO Jade Plant"/>
    <s v="UGAOO Jade Plant  (Pack of 1)"/>
    <n v="349"/>
    <n v="325"/>
    <n v="0.06"/>
    <n v="4"/>
    <s v="Small"/>
    <s v=" Succulent"/>
    <s v=" Indoor"/>
    <s v="UGAOO"/>
    <s v="No Returns Allowed?"/>
    <n v="674"/>
    <n v="0.86"/>
    <x v="0"/>
  </r>
  <r>
    <s v="1754310368-281"/>
    <s v="Risenshine ZZ Plant"/>
    <s v="Risenshine ZZ Plant  (Hybrid, Pack of 1)"/>
    <n v="199"/>
    <n v="159"/>
    <n v="0.2"/>
    <n v="1.8"/>
    <s v="Medium"/>
    <s v=" Foliage"/>
    <s v="indoor \outdoor"/>
    <s v="AredalosGarden"/>
    <s v="No Returns Allowed?"/>
    <n v="358"/>
    <n v="0.86"/>
    <x v="1"/>
  </r>
  <r>
    <s v="1754310370-282"/>
    <s v="ALG Clove Plant"/>
    <s v="ALG Clove Plant  (Hybrid, Pack of 1)"/>
    <n v="599"/>
    <n v="380"/>
    <n v="0.36"/>
    <n v="3.4"/>
    <s v="Small"/>
    <s v=" Herb"/>
    <s v=" Outdoor"/>
    <s v="ABEFARIYA"/>
    <s v="No Returns Allowed?"/>
    <n v="979"/>
    <n v="0.86"/>
    <x v="1"/>
  </r>
  <r>
    <s v="1754310373-283"/>
    <s v="APOSOLUARD Baugainvillea Plant"/>
    <s v="APOSOLUARD Baugainvillea Plant  (Hybrid, Pack of 1)"/>
    <n v="491"/>
    <n v="167"/>
    <n v="0.65"/>
    <n v="4.5"/>
    <s v="Small"/>
    <s v=" Flower"/>
    <s v=" Outdoor"/>
    <s v="APOSOLUARD"/>
    <s v="No Returns Allowed?"/>
    <n v="658"/>
    <n v="0.86"/>
    <x v="0"/>
  </r>
  <r>
    <s v="1754310375-284"/>
    <s v="UGAOO Golden Money Plant"/>
    <s v="UGAOO Golden Money Plant  (Pack of 1)"/>
    <n v="449"/>
    <n v="349"/>
    <n v="0.22"/>
    <n v="4.3"/>
    <s v="Small"/>
    <s v=" Shrub"/>
    <s v=" Indoor"/>
    <s v="UGAOO"/>
    <s v="No Returns Allowed?"/>
    <n v="798"/>
    <n v="0.86"/>
    <x v="1"/>
  </r>
  <r>
    <s v="1754310378-285"/>
    <s v="PLANTTOOZS Clove Plant"/>
    <s v="PLANTTOOZS Clove Plant  (Hybrid, Pack of 1)"/>
    <n v="945"/>
    <n v="130"/>
    <n v="0.86"/>
    <n v="3.4"/>
    <s v="Small"/>
    <s v=" Herb"/>
    <s v=" Outdoor"/>
    <s v="AFARTIOBINA"/>
    <s v="No Returns Allowed?"/>
    <n v="1075"/>
    <n v="0.86"/>
    <x v="1"/>
  </r>
  <r>
    <s v="1754310380-286"/>
    <s v="UGAOO Three Layer Bamboo Plant"/>
    <s v="UGAOO Three Layer Bamboo Plant  (Pack of 1)"/>
    <n v="499"/>
    <n v="426"/>
    <n v="0.14000000000000001"/>
    <n v="4.3"/>
    <s v="Small"/>
    <s v=" Bamboo"/>
    <s v=" Indoor"/>
    <s v="UGAOO"/>
    <s v="No Returns Allowed?"/>
    <n v="925"/>
    <n v="0.84"/>
    <x v="0"/>
  </r>
  <r>
    <s v="1754310383-287"/>
    <s v="Cloud Farm Grapes Plant"/>
    <s v="Cloud Farm Grapes Plant  (Hybrid, Pack of 1)"/>
    <n v="499"/>
    <n v="147"/>
    <n v="0.7"/>
    <n v="3.3"/>
    <s v="Medium"/>
    <s v=" Fruit"/>
    <s v=" Outdoor"/>
    <s v="GreenyOn"/>
    <s v="No Returns Allowed?"/>
    <n v="646"/>
    <n v="0.84"/>
    <x v="1"/>
  </r>
  <r>
    <s v="1754310386-288"/>
    <s v="Cloud Farm Orange Plant"/>
    <s v="Cloud Farm Orange Plant  (Hybrid, Pack of 1)"/>
    <n v="299"/>
    <n v="150"/>
    <n v="0.49"/>
    <n v="3.4"/>
    <s v="Small"/>
    <s v=" Fruit"/>
    <s v=" Outdoor"/>
    <s v="GreenyOn"/>
    <s v="No Returns Allowed?"/>
    <n v="449"/>
    <n v="0.84"/>
    <x v="0"/>
  </r>
  <r>
    <s v="1754310388-289"/>
    <s v="UGAOO Variegated Money Plant"/>
    <s v="UGAOO Variegated Money Plant  (Pack of 1)"/>
    <n v="449"/>
    <n v="384"/>
    <n v="0.14000000000000001"/>
    <n v="4.4000000000000004"/>
    <s v="Small"/>
    <s v=" Shrub"/>
    <s v=" Indoor"/>
    <s v="UGAOO"/>
    <s v="No Returns Allowed?"/>
    <n v="833"/>
    <n v="0.84"/>
    <x v="1"/>
  </r>
  <r>
    <s v="1754310391-290"/>
    <s v="UGAOO Jade Plant"/>
    <s v="UGAOO Jade Plant  (Hybrid, Pack of 1)"/>
    <n v="499"/>
    <n v="335"/>
    <n v="0.32"/>
    <n v="4"/>
    <s v="Small"/>
    <s v=" Succulent"/>
    <s v=" Indoor"/>
    <s v="UGAOO"/>
    <s v="No Returns Allowed?"/>
    <n v="834"/>
    <n v="0.84"/>
    <x v="0"/>
  </r>
  <r>
    <s v="1754310393-291"/>
    <s v="Aquinnah ZZ Plant"/>
    <s v="Aquinnah ZZ Plant  (Hybrid, Pack of 2)"/>
    <n v="499"/>
    <n v="165"/>
    <n v="0.66"/>
    <n v="4"/>
    <s v="Small"/>
    <s v=" Shrub"/>
    <s v="indoor \outdoor"/>
    <s v="Homegraden"/>
    <s v="No Returns Allowed?"/>
    <n v="664"/>
    <n v="0.84"/>
    <x v="1"/>
  </r>
  <r>
    <s v="1754310396-292"/>
    <s v="Cloud Farm Guava Plant"/>
    <s v="Cloud Farm Guava Plant  (Hybrid, Pack of 2)"/>
    <n v="399"/>
    <n v="150"/>
    <n v="0.62"/>
    <n v="4"/>
    <s v="Medium"/>
    <s v=" Fruit"/>
    <s v=" Indoor, Outdoor"/>
    <s v="CloudFarming"/>
    <s v="No Returns Allowed?"/>
    <n v="549"/>
    <n v="0.84"/>
    <x v="1"/>
  </r>
  <r>
    <s v="1754310398-293"/>
    <s v="UGAOO Jade Plant"/>
    <s v="UGAOO Jade Plant  (Hybrid, Pack of 1)"/>
    <n v="749"/>
    <n v="516"/>
    <n v="0.31"/>
    <n v="3.6"/>
    <s v="Small"/>
    <s v=" Succulent"/>
    <s v=" Indoor"/>
    <s v="UGAOO"/>
    <s v="No Returns Allowed?"/>
    <n v="1265"/>
    <n v="0.84"/>
    <x v="1"/>
  </r>
  <r>
    <s v="1754310401-294"/>
    <s v="UGAOO Njoy Money Plant"/>
    <s v="UGAOO Njoy Money Plant  (Hybrid, Pack of 1)"/>
    <n v="549"/>
    <n v="388"/>
    <n v="0.28999999999999998"/>
    <n v="4.3"/>
    <s v="Small"/>
    <s v=" Foliage"/>
    <s v=" Indoor"/>
    <s v="UGAOO"/>
    <s v="No Returns Allowed?"/>
    <n v="937"/>
    <n v="0.84"/>
    <x v="1"/>
  </r>
  <r>
    <s v="1754310403-295"/>
    <s v="Cloud Farm Grapes Plant"/>
    <s v="Cloud Farm Grapes Plant  (Hybrid, Pack of 3)"/>
    <n v="499"/>
    <n v="169"/>
    <n v="0.66"/>
    <n v="4"/>
    <s v="Medium"/>
    <s v=" Fruit"/>
    <s v="indoor \outdoor"/>
    <s v="CloudFarming"/>
    <s v="No Returns Allowed?"/>
    <n v="668"/>
    <n v="0.84"/>
    <x v="0"/>
  </r>
  <r>
    <s v="1754310406-296"/>
    <s v="Cloud Farm Hibiscus Plant"/>
    <s v="Cloud Farm Hibiscus Plant  (Hybrid, Pack of 3)"/>
    <n v="499"/>
    <n v="160"/>
    <n v="0.67"/>
    <n v="4"/>
    <s v="Medium"/>
    <s v=" Flower"/>
    <s v=" Outdoor"/>
    <s v="AlaiStore"/>
    <s v="No Returns Allowed?"/>
    <n v="659"/>
    <n v="0.84"/>
    <x v="1"/>
  </r>
  <r>
    <s v="1754310408-297"/>
    <s v="Cloud Farm Strawberry Plant"/>
    <s v="Cloud Farm Strawberry Plant  (Hybrid, Pack of 1)"/>
    <n v="249"/>
    <n v="145"/>
    <n v="0.41"/>
    <n v="3.7"/>
    <s v="Medium"/>
    <s v=" Fruit"/>
    <s v=" Outdoor"/>
    <s v="AlaiStore"/>
    <s v="No Returns Allowed?"/>
    <n v="394"/>
    <n v="0.84"/>
    <x v="1"/>
  </r>
  <r>
    <s v="1754310411-298"/>
    <s v="LivePlant Syngonium Plant"/>
    <s v="LivePlant Syngonium Plant  (Pack of 2)"/>
    <n v="299"/>
    <n v="167"/>
    <n v="0.44"/>
    <n v="2.1"/>
    <s v="Small"/>
    <s v=" Tree"/>
    <s v=" Indoor"/>
    <s v="AlaiStore"/>
    <s v="No Returns Allowed?"/>
    <n v="466"/>
    <n v="0.84"/>
    <x v="1"/>
  </r>
  <r>
    <s v="1754310413-299"/>
    <s v="UGAOO Golden Money Plant"/>
    <s v="UGAOO Golden Money Plant  (Pack of 1)"/>
    <n v="449"/>
    <n v="349"/>
    <n v="0.22"/>
    <n v="4.3"/>
    <s v="Small"/>
    <s v=" Shrub"/>
    <s v=" Indoor"/>
    <s v="UGAOO"/>
    <s v="No Returns Allowed?"/>
    <n v="798"/>
    <n v="0.84"/>
    <x v="1"/>
  </r>
  <r>
    <s v="1754310416-300"/>
    <s v="UGAOO Golden Money Plant"/>
    <s v="UGAOO Golden Money Plant  (Pack of 1)"/>
    <n v="449"/>
    <n v="349"/>
    <n v="0.22"/>
    <n v="4.3"/>
    <s v="Small"/>
    <s v=" Shrub"/>
    <s v=" Indoor"/>
    <s v="UGAOO"/>
    <s v="No Returns Allowed?"/>
    <n v="798"/>
    <n v="0.84"/>
    <x v="1"/>
  </r>
  <r>
    <s v="1754310418-301"/>
    <s v="Cloud Farm Clove Plant"/>
    <s v="Cloud Farm Clove Plant  (Hybrid, Pack of 1)"/>
    <n v="399"/>
    <n v="145"/>
    <n v="0.63"/>
    <n v="3.3"/>
    <s v="Medium"/>
    <s v=" Herb"/>
    <s v=" Outdoor"/>
    <s v="CloudFarming"/>
    <s v="No Returns Allowed?"/>
    <n v="544"/>
    <n v="0.84"/>
    <x v="0"/>
  </r>
  <r>
    <s v="1754310421-302"/>
    <s v="Cloud Farm Clove Plant"/>
    <s v="Cloud Farm Clove Plant  (Hybrid, Pack of 1)"/>
    <n v="249"/>
    <n v="145"/>
    <n v="0.41"/>
    <n v="3.3"/>
    <s v="Medium"/>
    <s v=" Herb"/>
    <s v=" Outdoor"/>
    <s v="AlaiStore"/>
    <s v="No Returns Allowed?"/>
    <n v="394"/>
    <n v="0.84"/>
    <x v="0"/>
  </r>
  <r>
    <s v="1754310424-303"/>
    <s v="UGAOO Jade Plant"/>
    <s v="UGAOO Jade Plant  (Hybrid, Pack of 1)"/>
    <n v="499"/>
    <n v="424"/>
    <n v="0.15"/>
    <n v="4.3"/>
    <s v="Small"/>
    <s v=" Succulent"/>
    <s v=" Indoor"/>
    <s v="UGAOO"/>
    <s v="No Returns Allowed?"/>
    <n v="923"/>
    <n v="0.84"/>
    <x v="0"/>
  </r>
  <r>
    <s v="1754310426-304"/>
    <s v="UGAOO Variegated Money Plant"/>
    <s v="UGAOO Variegated Money Plant  (Pack of 1)"/>
    <n v="449"/>
    <n v="359"/>
    <n v="0.2"/>
    <n v="4.4000000000000004"/>
    <s v="Small"/>
    <s v=" Shrub"/>
    <s v=" Indoor"/>
    <s v="UGAOO"/>
    <s v="No Returns Allowed?"/>
    <n v="808"/>
    <n v="0.84"/>
    <x v="1"/>
  </r>
  <r>
    <s v="1754310429-305"/>
    <s v="Cloud Farm Clove Plant"/>
    <s v="Cloud Farm Clove Plant  (Hybrid, Pack of 1)"/>
    <n v="199"/>
    <n v="144"/>
    <n v="0.27"/>
    <n v="3.4"/>
    <s v="Medium"/>
    <s v=" Herb"/>
    <s v=" Outdoor"/>
    <s v="GreenyOn"/>
    <s v="No Returns Allowed?"/>
    <n v="343"/>
    <n v="0.84"/>
    <x v="0"/>
  </r>
  <r>
    <s v="1754310431-306"/>
    <s v="Cloud Farm Baugainvillea Plant"/>
    <s v="Cloud Farm Baugainvillea Plant  (Hybrid, Pack of 1)"/>
    <n v="399"/>
    <n v="135"/>
    <n v="0.66"/>
    <n v="4"/>
    <s v="Medium"/>
    <s v=" Fruit"/>
    <s v=" Outdoor"/>
    <s v="GreenyOn"/>
    <s v="No Returns Allowed?"/>
    <n v="534"/>
    <n v="0.84"/>
    <x v="0"/>
  </r>
  <r>
    <s v="1754310434-307"/>
    <s v="Cloud Farm Parijat/Harsingar Plant"/>
    <s v="Cloud Farm Parijat/Harsingar Plant  (Hybrid, Pack of 1)"/>
    <n v="499"/>
    <n v="135"/>
    <n v="0.72"/>
    <n v="4"/>
    <s v="Medium"/>
    <s v=" Herb"/>
    <s v=" Indoor, Outdoor"/>
    <s v="CloudFarming"/>
    <s v="No Returns Allowed?"/>
    <n v="634"/>
    <n v="0.84"/>
    <x v="1"/>
  </r>
  <r>
    <s v="1754310436-308"/>
    <s v="Cloud Farm Clove Plant"/>
    <s v="Cloud Farm Clove Plant  (Hybrid, Pack of 1)"/>
    <n v="499"/>
    <n v="135"/>
    <n v="0.72"/>
    <n v="4"/>
    <s v="Medium"/>
    <s v=" Herb"/>
    <s v=" Outdoor"/>
    <s v="CloudFarming"/>
    <s v="No Returns Allowed?"/>
    <n v="634"/>
    <n v="0.84"/>
    <x v="1"/>
  </r>
  <r>
    <s v="1754310439-309"/>
    <s v="UGAOO Jade Plant"/>
    <s v="UGAOO Jade Plant  (Hybrid, Pack of 1)"/>
    <n v="449"/>
    <n v="335"/>
    <n v="0.25"/>
    <n v="4"/>
    <s v="Small"/>
    <s v=" Succulent"/>
    <s v=" Indoor"/>
    <s v="UGAOO"/>
    <s v="No Returns Allowed?"/>
    <n v="784"/>
    <n v="0.84"/>
    <x v="1"/>
  </r>
  <r>
    <s v="1754310442-310"/>
    <s v="UGAOO Jade Plant"/>
    <s v="UGAOO Jade Plant  (Hybrid, Pack of 1)"/>
    <n v="499"/>
    <n v="426"/>
    <n v="0.14000000000000001"/>
    <n v="4.2"/>
    <s v="Small"/>
    <s v=" Succulent"/>
    <s v=" Indoor"/>
    <s v="UGAOO"/>
    <s v="No Returns Allowed?"/>
    <n v="925"/>
    <n v="0.84"/>
    <x v="1"/>
  </r>
  <r>
    <s v="1754310444-311"/>
    <s v="Cloud Farm Grapes Plant"/>
    <s v="Cloud Farm Grapes Plant  (Hybrid, Pack of 1)"/>
    <n v="499"/>
    <n v="142"/>
    <n v="0.71"/>
    <n v="4"/>
    <s v="Small"/>
    <s v=" Fruit"/>
    <s v="indoor \outdoor, Outdoor"/>
    <s v="CloudFarming"/>
    <s v="No Returns Allowed?"/>
    <n v="641"/>
    <n v="0.84"/>
    <x v="1"/>
  </r>
  <r>
    <s v="1754310447-312"/>
    <s v="Cloud Farm Clove Plant"/>
    <s v="Cloud Farm Clove Plant  (Hybrid, Pack of 1)"/>
    <n v="499"/>
    <n v="132"/>
    <n v="0.73"/>
    <n v="4"/>
    <s v="Medium"/>
    <s v=" Herb"/>
    <s v="indoor \outdoor"/>
    <s v="CloudFarming"/>
    <s v="No Returns Allowed?"/>
    <n v="631"/>
    <n v="0.84"/>
    <x v="0"/>
  </r>
  <r>
    <s v="1754310449-313"/>
    <s v="UGAOO Jade Plant"/>
    <s v="UGAOO Jade Plant  (Hybrid, Pack of 1)"/>
    <n v="499"/>
    <n v="335"/>
    <n v="0.32"/>
    <n v="4"/>
    <s v="Small"/>
    <s v=" Succulent"/>
    <s v=" Indoor"/>
    <s v="UGAOO"/>
    <s v="No Returns Allowed?"/>
    <n v="834"/>
    <n v="0.84"/>
    <x v="1"/>
  </r>
  <r>
    <s v="1754310452-314"/>
    <s v="UGAOO Variegated Money Plant"/>
    <s v="UGAOO Variegated Money Plant  (Pack of 1)"/>
    <n v="445"/>
    <n v="335"/>
    <n v="0.24"/>
    <n v="4.4000000000000004"/>
    <s v="Small"/>
    <s v=" Shrub"/>
    <s v=" Indoor"/>
    <s v="UGAOO"/>
    <s v="No Returns Allowed?"/>
    <n v="780"/>
    <n v="0.84"/>
    <x v="0"/>
  </r>
  <r>
    <s v="1754310454-315"/>
    <s v="Cloud Farm Clove Plant"/>
    <s v="Cloud Farm Clove Plant  (Hybrid, Pack of 1)"/>
    <n v="499"/>
    <n v="132"/>
    <n v="0.73"/>
    <n v="4"/>
    <s v="Medium"/>
    <s v=" Herb"/>
    <s v=" Indoor,indoor \outdoor, Outdoor"/>
    <s v="CloudFarming"/>
    <s v="No Returns Allowed?"/>
    <n v="631"/>
    <n v="0.84"/>
    <x v="0"/>
  </r>
  <r>
    <s v="1754310457-316"/>
    <s v="Cloud Farm Clove Plant"/>
    <s v="Cloud Farm Clove Plant  (Hybrid, Pack of 1)"/>
    <n v="499"/>
    <n v="132"/>
    <n v="0.73"/>
    <n v="4"/>
    <s v="Medium"/>
    <s v=" Herb"/>
    <s v="indoor \outdoor"/>
    <s v="CloudFarming"/>
    <s v="No Returns Allowed?"/>
    <n v="631"/>
    <n v="0.84"/>
    <x v="1"/>
  </r>
  <r>
    <s v="1754310459-317"/>
    <s v="Cloud Farm Clove Plant"/>
    <s v="Cloud Farm Clove Plant  (Hybrid, Pack of 1)"/>
    <n v="499"/>
    <n v="142"/>
    <n v="0.71"/>
    <n v="4"/>
    <s v="Medium"/>
    <s v=" Herb"/>
    <s v=" Outdoor"/>
    <s v="CloudFarming"/>
    <s v="No Returns Allowed?"/>
    <n v="641"/>
    <n v="0.84"/>
    <x v="1"/>
  </r>
  <r>
    <s v="1754310462-318"/>
    <s v="Cloud Farm Clove Plant"/>
    <s v="Cloud Farm Clove Plant  (Hybrid, Pack of 1)"/>
    <n v="499"/>
    <n v="142"/>
    <n v="0.71"/>
    <n v="4"/>
    <s v="Medium"/>
    <s v=" Herb"/>
    <s v=" Outdoor"/>
    <s v="CloudFarming"/>
    <s v="No Returns Allowed?"/>
    <n v="641"/>
    <n v="0.84"/>
    <x v="1"/>
  </r>
  <r>
    <s v="1754310464-319"/>
    <s v="UGAOO Jade Plant"/>
    <s v="UGAOO Jade Plant  (Hybrid, Pack of 1)"/>
    <n v="495"/>
    <n v="331"/>
    <n v="0.33"/>
    <n v="4.0999999999999996"/>
    <s v="Small"/>
    <s v=" Succulent"/>
    <s v=" Indoor"/>
    <s v="UGAOO"/>
    <s v="No Returns Allowed?"/>
    <n v="826"/>
    <n v="0.84"/>
    <x v="1"/>
  </r>
  <r>
    <s v="1754310467-320"/>
    <s v="UGAOO Jade Plant"/>
    <s v="UGAOO Jade Plant  (Pack of 1)"/>
    <n v="349"/>
    <n v="325"/>
    <n v="0.06"/>
    <n v="4"/>
    <s v="Small"/>
    <s v=" Succulent"/>
    <s v=" Indoor"/>
    <s v="UGAOO"/>
    <s v="No Returns Allowed?"/>
    <n v="674"/>
    <n v="0.84"/>
    <x v="1"/>
  </r>
  <r>
    <s v="1754310473-321"/>
    <s v="Cloud Farm Pistachio Plant"/>
    <s v="Cloud Farm Pistachio Plant  (Hybrid, Pack of 1)"/>
    <n v="499"/>
    <n v="145"/>
    <n v="0.7"/>
    <n v="4"/>
    <s v="Medium"/>
    <s v=" Fruit"/>
    <s v=" Outdoor"/>
    <s v="AlaiStore"/>
    <s v="No Returns Allowed?"/>
    <n v="644"/>
    <n v="0.84"/>
    <x v="1"/>
  </r>
  <r>
    <s v="1754310475-322"/>
    <s v="Cloud Farm Clove Plant"/>
    <s v="Cloud Farm Clove Plant  (Hybrid, Pack of 1)"/>
    <n v="499"/>
    <n v="147"/>
    <n v="0.7"/>
    <n v="4"/>
    <s v="Medium"/>
    <s v=" Herb"/>
    <s v=" Outdoor"/>
    <s v="GreenyOn"/>
    <s v="No Returns Allowed?"/>
    <n v="646"/>
    <n v="0.84"/>
    <x v="1"/>
  </r>
  <r>
    <s v="1754310478-323"/>
    <s v="GLOBQRO Grape Plant"/>
    <s v="GLOBQRO Grape Plant  (Hybrid, Pack of 1)"/>
    <n v="622"/>
    <n v="116"/>
    <n v="0.81"/>
    <n v="3.4"/>
    <s v="Small"/>
    <s v=" Fruit"/>
    <s v="indoor \outdoor"/>
    <s v="SKYTCOM"/>
    <s v="No Returns Allowed?"/>
    <n v="738"/>
    <n v="0.84"/>
    <x v="0"/>
  </r>
  <r>
    <s v="1754310480-324"/>
    <s v="UGAOO Golden Money Plant"/>
    <s v="UGAOO Golden Money Plant  (Pack of 1)"/>
    <n v="449"/>
    <n v="349"/>
    <n v="0.22"/>
    <n v="4.3"/>
    <s v="Small"/>
    <s v=" Shrub"/>
    <s v=" Indoor"/>
    <s v="UGAOO"/>
    <s v="No Returns Allowed?"/>
    <n v="798"/>
    <n v="0.84"/>
    <x v="1"/>
  </r>
  <r>
    <s v="1754310483-325"/>
    <s v="AloGardening Shahtoot/Mulberry Plant"/>
    <s v="AloGardening Shahtoot/Mulberry Plant  (Hybrid, Pack of 1)"/>
    <n v="379"/>
    <n v="157"/>
    <n v="0.57999999999999996"/>
    <n v="3.6"/>
    <s v="Small"/>
    <s v=" Fruit"/>
    <s v=" Indoor, Outdoor"/>
    <s v="RoyANDRoyTraders"/>
    <s v="No Returns Allowed?"/>
    <n v="536"/>
    <n v="0.84"/>
    <x v="1"/>
  </r>
  <r>
    <s v="1754310485-326"/>
    <s v="Cloud Farm ZZ Plant"/>
    <s v="Cloud Farm ZZ Plant  (Hybrid, Pack of 1)"/>
    <n v="199"/>
    <n v="137"/>
    <n v="0.31"/>
    <n v="4"/>
    <s v="Medium"/>
    <s v=" Shrub"/>
    <s v=" Outdoor"/>
    <s v="CloudFarming"/>
    <s v="No Returns Allowed?"/>
    <n v="336"/>
    <n v="0.84"/>
    <x v="0"/>
  </r>
  <r>
    <s v="1754310488-327"/>
    <s v="Cloud Farm Clove Plant"/>
    <s v="Cloud Farm Clove Plant  (Hybrid, Pack of 1)"/>
    <n v="399"/>
    <n v="140"/>
    <n v="0.64"/>
    <n v="4"/>
    <s v="Medium"/>
    <s v=" Herb"/>
    <s v=" Outdoor"/>
    <s v="GreenyOn"/>
    <s v="No Returns Allowed?"/>
    <n v="539"/>
    <n v="0.84"/>
    <x v="1"/>
  </r>
  <r>
    <s v="1754310491-328"/>
    <s v="Cloud Farm Clove Plant"/>
    <s v="Cloud Farm Clove Plant  (Hybrid, Pack of 1)"/>
    <n v="199"/>
    <n v="137"/>
    <n v="0.31"/>
    <n v="4"/>
    <s v="Medium"/>
    <s v=" Herb"/>
    <s v=" Outdoor"/>
    <s v="CloudFarming"/>
    <s v="No Returns Allowed?"/>
    <n v="336"/>
    <n v="0.84"/>
    <x v="1"/>
  </r>
  <r>
    <s v="1754310493-329"/>
    <s v="UGAOO Variegated Money Plant"/>
    <s v="UGAOO Variegated Money Plant  (Pack of 1)"/>
    <n v="449"/>
    <n v="384"/>
    <n v="0.14000000000000001"/>
    <n v="4.4000000000000004"/>
    <s v="Small"/>
    <s v=" Shrub"/>
    <s v=" Indoor"/>
    <s v="UGAOO"/>
    <s v="No Returns Allowed?"/>
    <n v="833"/>
    <n v="0.84"/>
    <x v="0"/>
  </r>
  <r>
    <s v="1754310496-330"/>
    <s v="UGAOO Jade Plant"/>
    <s v="UGAOO Jade Plant  (Hybrid, Pack of 1)"/>
    <n v="499"/>
    <n v="335"/>
    <n v="0.32"/>
    <n v="4"/>
    <s v="Small"/>
    <s v=" Succulent"/>
    <s v=" Indoor"/>
    <s v="UGAOO"/>
    <s v="No Returns Allowed?"/>
    <n v="834"/>
    <n v="0.84"/>
    <x v="0"/>
  </r>
  <r>
    <s v="1754310498-331"/>
    <s v="Cloud Farm Clove Plant"/>
    <s v="Cloud Farm Clove Plant  (Hybrid, Pack of 1)"/>
    <n v="299"/>
    <n v="145"/>
    <n v="0.51"/>
    <n v="4"/>
    <s v="Medium"/>
    <s v=" Herb"/>
    <s v=" Outdoor"/>
    <s v="GreenyOn"/>
    <s v="No Returns Allowed?"/>
    <n v="444"/>
    <n v="0.84"/>
    <x v="0"/>
  </r>
  <r>
    <s v="1754310501-332"/>
    <s v="Cloud Farm Clove Plant"/>
    <s v="Cloud Farm Clove Plant  (Hybrid, Pack of 1)"/>
    <n v="299"/>
    <n v="145"/>
    <n v="0.51"/>
    <n v="4"/>
    <s v="Medium"/>
    <s v=" Herb"/>
    <s v=" Outdoor"/>
    <s v="CloudFarming"/>
    <s v="No Returns Allowed?"/>
    <n v="444"/>
    <n v="0.84"/>
    <x v="1"/>
  </r>
  <r>
    <s v="1754310504-333"/>
    <s v="UGAOO Jade Plant"/>
    <s v="UGAOO Jade Plant  (Hybrid, Pack of 1)"/>
    <n v="749"/>
    <n v="516"/>
    <n v="0.31"/>
    <n v="3.6"/>
    <s v="Small"/>
    <s v=" Succulent"/>
    <s v=" Indoor"/>
    <s v="UGAOO"/>
    <s v="No Returns Allowed?"/>
    <n v="1265"/>
    <n v="0.84"/>
    <x v="1"/>
  </r>
  <r>
    <s v="1754310506-334"/>
    <s v="UGAOO Njoy Money Plant"/>
    <s v="UGAOO Njoy Money Plant  (Hybrid, Pack of 1)"/>
    <n v="549"/>
    <n v="388"/>
    <n v="0.28999999999999998"/>
    <n v="4.3"/>
    <s v="Small"/>
    <s v=" Foliage"/>
    <s v=" Indoor"/>
    <s v="UGAOO"/>
    <s v="No Returns Allowed?"/>
    <n v="937"/>
    <n v="0.84"/>
    <x v="1"/>
  </r>
  <r>
    <s v="1754310509-335"/>
    <s v="Cloud Farm Clove Plant"/>
    <s v="Cloud Farm Clove Plant  (Hybrid, Pack of 1)"/>
    <n v="499"/>
    <n v="142"/>
    <n v="0.71"/>
    <n v="4"/>
    <s v="Medium"/>
    <s v=" Herb"/>
    <s v=" Indoor, Outdoor"/>
    <s v="CloudFarming"/>
    <s v="No Returns Allowed?"/>
    <n v="641"/>
    <n v="0.84"/>
    <x v="0"/>
  </r>
  <r>
    <s v="1754310511-336"/>
    <s v="Cloud Farm Grapes Plant"/>
    <s v="Cloud Farm Grapes Plant  (Hybrid, Pack of 2)"/>
    <n v="499"/>
    <n v="182"/>
    <n v="0.63"/>
    <n v="3.4"/>
    <s v="Small"/>
    <s v=" Fruit"/>
    <s v="indoor \outdoor"/>
    <s v="AlaiStore"/>
    <s v="No Returns Allowed?"/>
    <n v="681"/>
    <n v="0.84"/>
    <x v="0"/>
  </r>
  <r>
    <s v="1754310514-337"/>
    <s v="Cloud Farm Parijat/Harsingar Plant"/>
    <s v="Cloud Farm Parijat/Harsingar Plant  (Hybrid, Pack of 1)"/>
    <n v="199"/>
    <n v="145"/>
    <n v="0.27"/>
    <n v="1.1000000000000001"/>
    <s v="Small"/>
    <s v=" Herb"/>
    <s v=" Outdoor"/>
    <s v="GreenyOn"/>
    <s v="No Returns Allowed?"/>
    <n v="344"/>
    <n v="0.84"/>
    <x v="0"/>
  </r>
  <r>
    <s v="1754310516-338"/>
    <s v="Cloud Farm Ashok Plant"/>
    <s v="Cloud Farm Ashok Plant  (Hybrid, Pack of 1)"/>
    <n v="499"/>
    <n v="155"/>
    <n v="0.68"/>
    <n v="4"/>
    <s v="Small"/>
    <s v=" Tree"/>
    <s v=" Outdoor"/>
    <s v="AlaiStore"/>
    <s v="No Returns Allowed?"/>
    <n v="654"/>
    <n v="0.84"/>
    <x v="1"/>
  </r>
  <r>
    <s v="1754310519-339"/>
    <s v="UGAOO Golden Money Plant"/>
    <s v="UGAOO Golden Money Plant  (Pack of 1)"/>
    <n v="449"/>
    <n v="349"/>
    <n v="0.22"/>
    <n v="4.3"/>
    <s v="Small"/>
    <s v=" Shrub"/>
    <s v=" Indoor"/>
    <s v="UGAOO"/>
    <s v="No Returns Allowed?"/>
    <n v="798"/>
    <n v="0.84"/>
    <x v="0"/>
  </r>
  <r>
    <s v="1754310521-340"/>
    <s v="UGAOO Golden Money Plant"/>
    <s v="UGAOO Golden Money Plant  (Pack of 1)"/>
    <n v="449"/>
    <n v="349"/>
    <n v="0.22"/>
    <n v="4.3"/>
    <s v="Small"/>
    <s v=" Shrub"/>
    <s v=" Indoor"/>
    <s v="UGAOO"/>
    <s v="No Returns Allowed?"/>
    <n v="798"/>
    <n v="0.84"/>
    <x v="0"/>
  </r>
  <r>
    <s v="1754310524-341"/>
    <s v="AloGardening Guava Plant"/>
    <s v="AloGardening Guava Plant  (Hybrid, Pack of 1)"/>
    <n v="211"/>
    <n v="150"/>
    <n v="0.28000000000000003"/>
    <n v="3.6"/>
    <s v="Small"/>
    <s v=" Fruit"/>
    <s v="indoor \outdoor"/>
    <s v="RoyANDRoyTraders"/>
    <s v="No Returns Allowed?"/>
    <n v="361"/>
    <n v="0.84"/>
    <x v="0"/>
  </r>
  <r>
    <s v="1754310527-342"/>
    <s v="Cloud Farm Clove Plant"/>
    <s v="Cloud Farm Clove Plant  (Hybrid, Pack of 1)"/>
    <n v="399"/>
    <n v="144"/>
    <n v="0.63"/>
    <n v="2.5"/>
    <s v="Medium"/>
    <s v=" Herb"/>
    <s v=" Outdoor"/>
    <s v="CloudFarming"/>
    <s v="No Returns Allowed?"/>
    <n v="543"/>
    <n v="0.84"/>
    <x v="1"/>
  </r>
  <r>
    <s v="1754310529-343"/>
    <s v="UGAOO Jade Plant"/>
    <s v="UGAOO Jade Plant  (Hybrid, Pack of 1)"/>
    <n v="499"/>
    <n v="424"/>
    <n v="0.15"/>
    <n v="4.3"/>
    <s v="Small"/>
    <s v=" Succulent"/>
    <s v=" Indoor"/>
    <s v="UGAOO"/>
    <s v="No Returns Allowed?"/>
    <n v="923"/>
    <n v="0.84"/>
    <x v="0"/>
  </r>
  <r>
    <s v="1754310532-344"/>
    <s v="UGAOO Variegated Money Plant"/>
    <s v="UGAOO Variegated Money Plant  (Pack of 1)"/>
    <n v="449"/>
    <n v="359"/>
    <n v="0.2"/>
    <n v="4.4000000000000004"/>
    <s v="Small"/>
    <s v=" Shrub"/>
    <s v=" Indoor"/>
    <s v="UGAOO"/>
    <s v="No Returns Allowed?"/>
    <n v="808"/>
    <n v="0.84"/>
    <x v="1"/>
  </r>
  <r>
    <s v="1754310534-345"/>
    <s v="Cloud Farm Guava Plant"/>
    <s v="Cloud Farm Guava Plant  (Hybrid, Pack of 2)"/>
    <n v="299"/>
    <n v="144"/>
    <n v="0.51"/>
    <n v="2.4"/>
    <s v="Medium"/>
    <s v=" Fruit"/>
    <s v=" Outdoor"/>
    <s v="CloudFarming"/>
    <s v="No Returns Allowed?"/>
    <n v="443"/>
    <n v="0.84"/>
    <x v="1"/>
  </r>
  <r>
    <s v="1754310537-346"/>
    <s v="Cloud Farm Clove Plant"/>
    <s v="Cloud Farm Clove Plant  (Hybrid, Pack of 1)"/>
    <n v="399"/>
    <n v="137"/>
    <n v="0.65"/>
    <n v="3.5"/>
    <s v="Medium"/>
    <s v=" Herb"/>
    <s v=" Outdoor"/>
    <s v="CloudFarming"/>
    <s v="No Returns Allowed?"/>
    <n v="536"/>
    <n v="0.84"/>
    <x v="1"/>
  </r>
  <r>
    <s v="1754310539-347"/>
    <s v="GIRISHA TRADERS Two Layer Bamboo Plant, Lucky Bamboo St..."/>
    <s v="GIRISHA TRADERS Two Layer Bamboo Plant, Lucky Bamboo Straight Stick, Dracaena Plant  (Pack of 1)"/>
    <n v="599"/>
    <n v="250"/>
    <n v="0.57999999999999996"/>
    <n v="3.6"/>
    <s v="Small"/>
    <s v=" Bamboo"/>
    <s v=" Indoor"/>
    <s v="NiMoj"/>
    <s v="No Returns Allowed?"/>
    <n v="849"/>
    <n v="0.84"/>
    <x v="0"/>
  </r>
  <r>
    <s v="1754310542-348"/>
    <s v="Cloud Farm Tulsi Plant"/>
    <s v="Cloud Farm Tulsi Plant  (Hybrid, Pack of 2)"/>
    <n v="499"/>
    <n v="145"/>
    <n v="0.7"/>
    <n v="4"/>
    <s v="Medium"/>
    <s v=" Tree"/>
    <s v="indoor \outdoor"/>
    <s v="AlaiStore"/>
    <s v="No Returns Allowed?"/>
    <n v="644"/>
    <n v="0.84"/>
    <x v="0"/>
  </r>
  <r>
    <s v="1754310544-349"/>
    <s v="UGAOO Jade Plant"/>
    <s v="UGAOO Jade Plant  (Hybrid, Pack of 1)"/>
    <n v="449"/>
    <n v="335"/>
    <n v="0.25"/>
    <n v="4"/>
    <s v="Small"/>
    <s v=" Succulent"/>
    <s v=" Indoor"/>
    <s v="UGAOO"/>
    <s v="No Returns Allowed?"/>
    <n v="784"/>
    <n v="0.84"/>
    <x v="1"/>
  </r>
  <r>
    <s v="1754310547-350"/>
    <s v="UGAOO Jade Plant"/>
    <s v="UGAOO Jade Plant  (Hybrid, Pack of 1)"/>
    <n v="499"/>
    <n v="426"/>
    <n v="0.14000000000000001"/>
    <n v="4.2"/>
    <s v="Small"/>
    <s v=" Succulent"/>
    <s v=" Indoor"/>
    <s v="UGAOO"/>
    <s v="No Returns Allowed?"/>
    <n v="925"/>
    <n v="0.84"/>
    <x v="1"/>
  </r>
  <r>
    <s v="1754310549-351"/>
    <s v="Cloud Farm Kiwi Plant"/>
    <s v="Cloud Farm Kiwi Plant  (Hybrid, Pack of 2)"/>
    <n v="399"/>
    <n v="160"/>
    <n v="0.59"/>
    <n v="4"/>
    <s v="Medium"/>
    <s v=" Fruit"/>
    <s v=" Outdoor"/>
    <s v="AlaiStore"/>
    <s v="No Returns Allowed?"/>
    <n v="559"/>
    <n v="0.84"/>
    <x v="1"/>
  </r>
  <r>
    <s v="1754310552-352"/>
    <s v="Cloud Farm Peace Lily Plant"/>
    <s v="Cloud Farm Peace Lily Plant  (Hybrid, Pack of 2)"/>
    <n v="499"/>
    <n v="169"/>
    <n v="0.66"/>
    <n v="4"/>
    <s v="Medium"/>
    <s v=" Air purifier plant"/>
    <s v=" Indoor"/>
    <s v="AlaiStore"/>
    <s v="No Returns Allowed?"/>
    <n v="668"/>
    <n v="0.84"/>
    <x v="0"/>
  </r>
  <r>
    <s v="1754310554-353"/>
    <s v="UGAOO Jade Plant"/>
    <s v="UGAOO Jade Plant  (Hybrid, Pack of 1)"/>
    <n v="499"/>
    <n v="335"/>
    <n v="0.32"/>
    <n v="4"/>
    <s v="Small"/>
    <s v=" Succulent"/>
    <s v=" Indoor"/>
    <s v="UGAOO"/>
    <s v="No Returns Allowed?"/>
    <n v="834"/>
    <n v="0.84"/>
    <x v="0"/>
  </r>
  <r>
    <s v="1754310557-354"/>
    <s v="UGAOO Variegated Money Plant"/>
    <s v="UGAOO Variegated Money Plant  (Pack of 1)"/>
    <n v="445"/>
    <n v="335"/>
    <n v="0.24"/>
    <n v="4.4000000000000004"/>
    <s v="Small"/>
    <s v=" Shrub"/>
    <s v=" Indoor"/>
    <s v="UGAOO"/>
    <s v="No Returns Allowed?"/>
    <n v="780"/>
    <n v="0.84"/>
    <x v="1"/>
  </r>
  <r>
    <s v="1754310559-355"/>
    <s v="Real Nature Two Layer Bamboo Plant"/>
    <s v="Real Nature Two Layer Bamboo Plant  (Pack of 1)"/>
    <n v="699"/>
    <n v="297"/>
    <n v="0.56999999999999995"/>
    <n v="4.2"/>
    <s v="Small"/>
    <s v=" Bamboo"/>
    <s v=" Indoor"/>
    <s v="RealNature1"/>
    <s v="No Returns Allowed?"/>
    <n v="996"/>
    <n v="0.84"/>
    <x v="0"/>
  </r>
  <r>
    <s v="1754310562-356"/>
    <s v="Cloud Farm Ficus Plant"/>
    <s v="Cloud Farm Ficus Plant  (Hybrid, Pack of 1)"/>
    <n v="299"/>
    <n v="145"/>
    <n v="0.51"/>
    <n v="1.8"/>
    <s v="Small"/>
    <s v=" Bonsai"/>
    <s v=" Indoor, Outdoor"/>
    <s v="AlaiStore"/>
    <s v="No Returns Allowed?"/>
    <n v="444"/>
    <n v="0.84"/>
    <x v="1"/>
  </r>
  <r>
    <s v="1754310565-357"/>
    <s v="GrowWithUs Clitoria Ternatea Aparajita Plant, Clitoria ..."/>
    <s v="GrowWithUs Clitoria Ternatea Aparajita Plant, Clitoria Ternatea Aparajita Plant  (Hybrid, Pack of 1)"/>
    <n v="499"/>
    <n v="198"/>
    <n v="0.6"/>
    <n v="4"/>
    <s v="Medium"/>
    <s v=" Tree"/>
    <s v="indoor \outdoor"/>
    <s v="LaxmiMatanursery"/>
    <s v="No Returns Allowed?"/>
    <n v="697"/>
    <n v="0.84"/>
    <x v="0"/>
  </r>
  <r>
    <s v="1754310567-358"/>
    <s v="Cloud Farm ZZ Plant"/>
    <s v="Cloud Farm ZZ Plant  (Hybrid, Pack of 1)"/>
    <n v="299"/>
    <n v="145"/>
    <n v="0.51"/>
    <n v="1.7"/>
    <s v="Small"/>
    <s v=" Bonsai"/>
    <s v=" Indoor, Outdoor"/>
    <s v="AlaiStore"/>
    <s v="No Returns Allowed?"/>
    <n v="444"/>
    <n v="0.84"/>
    <x v="1"/>
  </r>
  <r>
    <s v="1754310570-359"/>
    <s v="UGAOO Jade Plant"/>
    <s v="UGAOO Jade Plant  (Hybrid, Pack of 1)"/>
    <n v="495"/>
    <n v="331"/>
    <n v="0.33"/>
    <n v="4.0999999999999996"/>
    <s v="Small"/>
    <s v=" Succulent"/>
    <s v=" Indoor"/>
    <s v="UGAOO"/>
    <s v="No Returns Allowed?"/>
    <n v="826"/>
    <n v="0.84"/>
    <x v="0"/>
  </r>
  <r>
    <s v="1754310572-360"/>
    <s v="UGAOO Jade Plant"/>
    <s v="UGAOO Jade Plant  (Pack of 1)"/>
    <n v="349"/>
    <n v="325"/>
    <n v="0.06"/>
    <n v="4"/>
    <s v="Small"/>
    <s v=" Succulent"/>
    <s v=" Indoor"/>
    <s v="UGAOO"/>
    <s v="No Returns Allowed?"/>
    <n v="674"/>
    <n v="0.84"/>
    <x v="0"/>
  </r>
  <r>
    <s v="1754310578-361"/>
    <s v="Cloud Farm Clove Plant"/>
    <s v="Cloud Farm Clove Plant  (Hybrid, Pack of 1)"/>
    <n v="299"/>
    <n v="145"/>
    <n v="0.51"/>
    <n v="3.5"/>
    <s v="Medium"/>
    <s v=" Herb"/>
    <s v=" Outdoor"/>
    <s v="CloudFarming"/>
    <s v="No Returns Allowed?"/>
    <n v="444"/>
    <n v="0.84"/>
    <x v="1"/>
  </r>
  <r>
    <s v="1754310580-362"/>
    <s v="Oxygreenplant Shahtoot/Mulberry Plant"/>
    <s v="Oxygreenplant Shahtoot/Mulberry Plant  (Hybrid, Pack of 1)"/>
    <n v="399"/>
    <n v="140"/>
    <n v="0.64"/>
    <n v="3.6"/>
    <s v="Small"/>
    <s v=" Fruit"/>
    <s v="indoor \outdoor"/>
    <s v="OXYGREENPLANT"/>
    <s v="No Returns Allowed?"/>
    <n v="539"/>
    <n v="0.84"/>
    <x v="1"/>
  </r>
  <r>
    <s v="1754310583-363"/>
    <s v="UGAOO Golden Money Plant"/>
    <s v="UGAOO Golden Money Plant  (Pack of 1)"/>
    <n v="449"/>
    <n v="349"/>
    <n v="0.22"/>
    <n v="4.3"/>
    <s v="Small"/>
    <s v=" Shrub"/>
    <s v=" Indoor"/>
    <s v="UGAOO"/>
    <s v="No Returns Allowed?"/>
    <n v="798"/>
    <n v="0.84"/>
    <x v="0"/>
  </r>
  <r>
    <s v="1754310586-364"/>
    <s v="UGAOO Variegated Money Plant"/>
    <s v="UGAOO Variegated Money Plant  (Pack of 1)"/>
    <n v="449"/>
    <n v="384"/>
    <n v="0.14000000000000001"/>
    <n v="4.4000000000000004"/>
    <s v="Small"/>
    <s v=" Shrub"/>
    <s v=" Indoor"/>
    <s v="UGAOO"/>
    <s v="No Returns Allowed?"/>
    <n v="833"/>
    <n v="0.84"/>
    <x v="0"/>
  </r>
  <r>
    <s v="1754310588-365"/>
    <s v="Cloud Farm Grapes Plant"/>
    <s v="Cloud Farm Grapes Plant  (Hybrid, Pack of 1)"/>
    <n v="299"/>
    <n v="145"/>
    <n v="0.51"/>
    <n v="3.1"/>
    <s v="Medium"/>
    <s v=" Fruit"/>
    <s v=" Outdoor"/>
    <s v="AlaiStore"/>
    <s v="No Returns Allowed?"/>
    <n v="444"/>
    <n v="0.84"/>
    <x v="1"/>
  </r>
  <r>
    <s v="1754310591-366"/>
    <s v="Greenium Aglaonema Plant"/>
    <s v="Greenium Aglaonema Plant  (Hybrid, Pack of 1)"/>
    <n v="699"/>
    <n v="212"/>
    <n v="0.69"/>
    <n v="4"/>
    <s v="Medium"/>
    <s v=" Air purifier plant"/>
    <s v=" Indoor, Outdoor"/>
    <s v="Greenium"/>
    <s v="No Returns Allowed?"/>
    <n v="911"/>
    <n v="0.84"/>
    <x v="0"/>
  </r>
  <r>
    <s v="1754310593-367"/>
    <s v="Cloud Farm Kiwi Plant"/>
    <s v="Cloud Farm Kiwi Plant  (Hybrid, Pack of 1)"/>
    <n v="399"/>
    <n v="160"/>
    <n v="0.59"/>
    <n v="3.1"/>
    <s v="Medium"/>
    <s v=" Fruit"/>
    <s v=" Outdoor"/>
    <s v="AlaiStore"/>
    <s v="No Returns Allowed?"/>
    <n v="559"/>
    <n v="0.84"/>
    <x v="0"/>
  </r>
  <r>
    <s v="1754310596-368"/>
    <s v="Cloud Farm Pomegranate Plant"/>
    <s v="Cloud Farm Pomegranate Plant  (Hybrid, Pack of 1)"/>
    <n v="399"/>
    <n v="145"/>
    <n v="0.63"/>
    <n v="3.7"/>
    <s v="Medium"/>
    <s v=" Fruit"/>
    <s v=" Outdoor"/>
    <s v="AlaiStore"/>
    <s v="No Returns Allowed?"/>
    <n v="544"/>
    <n v="0.84"/>
    <x v="1"/>
  </r>
  <r>
    <s v="1754310598-369"/>
    <s v="UGAOO Jade Plant"/>
    <s v="UGAOO Jade Plant  (Hybrid, Pack of 1)"/>
    <n v="499"/>
    <n v="335"/>
    <n v="0.32"/>
    <n v="4"/>
    <s v="Small"/>
    <s v=" Succulent"/>
    <s v=" Indoor"/>
    <s v="UGAOO"/>
    <s v="No Returns Allowed?"/>
    <n v="834"/>
    <n v="0.84"/>
    <x v="0"/>
  </r>
  <r>
    <s v="1754310601-370"/>
    <s v="UGAOO Jade Plant"/>
    <s v="UGAOO Jade Plant  (Hybrid, Pack of 1)"/>
    <n v="749"/>
    <n v="516"/>
    <n v="0.31"/>
    <n v="3.6"/>
    <s v="Small"/>
    <s v=" Succulent"/>
    <s v=" Indoor"/>
    <s v="UGAOO"/>
    <s v="No Returns Allowed?"/>
    <n v="1265"/>
    <n v="0.84"/>
    <x v="0"/>
  </r>
  <r>
    <s v="1754310604-371"/>
    <s v="Cloud Farm Jack Fruit Plant"/>
    <s v="Cloud Farm Jack Fruit Plant  (Hybrid, Pack of 1)"/>
    <n v="299"/>
    <n v="145"/>
    <n v="0.51"/>
    <n v="3.3"/>
    <s v="Medium"/>
    <s v=" Fruit"/>
    <s v=" Outdoor"/>
    <s v="AlaiStore"/>
    <s v="No Returns Allowed?"/>
    <n v="444"/>
    <n v="0.84"/>
    <x v="0"/>
  </r>
  <r>
    <s v="1754310606-372"/>
    <s v="Cloud Farm Hibiscus Plant"/>
    <s v="Cloud Farm Hibiscus Plant  (Hybrid, Pack of 4)"/>
    <n v="499"/>
    <n v="177"/>
    <n v="0.64"/>
    <n v="4"/>
    <s v="Medium"/>
    <s v=" Flower"/>
    <s v=" Outdoor"/>
    <s v="AlaiStore"/>
    <s v="No Returns Allowed?"/>
    <n v="676"/>
    <n v="0.84"/>
    <x v="0"/>
  </r>
  <r>
    <s v="1754310609-373"/>
    <s v="UGAOO Njoy Money Plant"/>
    <s v="UGAOO Njoy Money Plant  (Hybrid, Pack of 1)"/>
    <n v="549"/>
    <n v="388"/>
    <n v="0.28999999999999998"/>
    <n v="4.3"/>
    <s v="Small"/>
    <s v=" Foliage"/>
    <s v=" Indoor"/>
    <s v="UGAOO"/>
    <s v="No Returns Allowed?"/>
    <n v="937"/>
    <n v="0.84"/>
    <x v="0"/>
  </r>
  <r>
    <s v="1754310611-374"/>
    <s v="UGAOO Golden Money Plant"/>
    <s v="UGAOO Golden Money Plant  (Pack of 1)"/>
    <n v="449"/>
    <n v="349"/>
    <n v="0.22"/>
    <n v="4.3"/>
    <s v="Small"/>
    <s v=" Shrub"/>
    <s v=" Indoor"/>
    <s v="UGAOO"/>
    <s v="No Returns Allowed?"/>
    <n v="798"/>
    <n v="0.84"/>
    <x v="0"/>
  </r>
  <r>
    <s v="1754310614-375"/>
    <s v="Gabbro Two Layer Bamboo Plant"/>
    <s v="Gabbro Two Layer Bamboo Plant  (Hybrid, Pack of 1)"/>
    <n v="1099"/>
    <n v="300"/>
    <n v="0.72"/>
    <n v="4.4000000000000004"/>
    <s v="Medium"/>
    <s v=" Bamboo"/>
    <s v=" Indoor"/>
    <s v="Gabbro"/>
    <s v="No Returns Allowed?"/>
    <n v="1399"/>
    <n v="0.84"/>
    <x v="1"/>
  </r>
  <r>
    <s v="1754310616-376"/>
    <s v="pomgardening Apple Plant"/>
    <s v="pomgardening Apple Plant  (Hybrid, Pack of 1)"/>
    <n v="759"/>
    <n v="120"/>
    <n v="0.84"/>
    <n v="3.5"/>
    <s v="Small"/>
    <s v=" Fruit"/>
    <s v=" Outdoor"/>
    <s v="Sarkarplantenterprise"/>
    <s v="No Returns Allowed?"/>
    <n v="879"/>
    <n v="0.84"/>
    <x v="0"/>
  </r>
  <r>
    <s v="1754310619-377"/>
    <s v="AMBRUZZ Rose Plant"/>
    <s v="AMBRUZZ Rose Plant  (Hybrid, Pack of 4)"/>
    <n v="599"/>
    <n v="177"/>
    <n v="0.7"/>
    <n v="3.4"/>
    <s v="Medium"/>
    <s v=" Flower"/>
    <s v=" Outdoor"/>
    <s v="Asvora"/>
    <s v="No Returns Allowed?"/>
    <n v="776"/>
    <n v="0.84"/>
    <x v="1"/>
  </r>
  <r>
    <s v="1754310622-378"/>
    <s v="Cloud Farm Grapes Plant"/>
    <s v="Cloud Farm Grapes Plant  (Hybrid, Pack of 1)"/>
    <n v="299"/>
    <n v="145"/>
    <n v="0.51"/>
    <n v="4.3"/>
    <s v="Medium"/>
    <s v=" Fruit"/>
    <s v=" Outdoor"/>
    <s v="AlaiStore"/>
    <s v="No Returns Allowed?"/>
    <n v="444"/>
    <n v="0.84"/>
    <x v="0"/>
  </r>
  <r>
    <s v="1754310631-379"/>
    <s v="UGAOO Golden Money Plant"/>
    <s v="UGAOO Golden Money Plant  (Pack of 1)"/>
    <n v="449"/>
    <n v="349"/>
    <n v="0.22"/>
    <n v="4.3"/>
    <s v="Small"/>
    <s v=" Shrub"/>
    <s v=" Indoor"/>
    <s v="UGAOO"/>
    <s v="No Returns Allowed?"/>
    <n v="798"/>
    <n v="0.84"/>
    <x v="0"/>
  </r>
  <r>
    <s v="1754310641-380"/>
    <s v="UGAOO Jade Plant"/>
    <s v="UGAOO Jade Plant  (Hybrid, Pack of 1)"/>
    <n v="499"/>
    <n v="424"/>
    <n v="0.15"/>
    <n v="4.3"/>
    <s v="Small"/>
    <s v=" Succulent"/>
    <s v=" Indoor"/>
    <s v="UGAOO"/>
    <s v="No Returns Allowed?"/>
    <n v="923"/>
    <n v="0.84"/>
    <x v="0"/>
  </r>
  <r>
    <s v="1754310646-381"/>
    <s v="Hot Climate Apple Plant"/>
    <s v="Hot Climate Apple Plant  (Hybrid, Pack of 1)"/>
    <n v="579"/>
    <n v="135"/>
    <n v="0.76"/>
    <n v="3.3"/>
    <s v="Small"/>
    <s v=" Fruit"/>
    <s v=" Outdoor"/>
    <s v="CultivaEnterprise"/>
    <s v="No Returns Allowed?"/>
    <n v="714"/>
    <n v="0.84"/>
    <x v="0"/>
  </r>
  <r>
    <s v="1754310648-382"/>
    <s v="Cloud Farm Guava Plant"/>
    <s v="Cloud Farm Guava Plant  (Hybrid, Pack of 1)"/>
    <n v="499"/>
    <n v="135"/>
    <n v="0.72"/>
    <n v="4"/>
    <s v="Small"/>
    <s v=" Fruit"/>
    <s v=" Outdoor"/>
    <s v="CloudFarming"/>
    <s v="No Returns Allowed?"/>
    <n v="634"/>
    <n v="0.84"/>
    <x v="0"/>
  </r>
  <r>
    <s v="1754310655-383"/>
    <s v="UGAOO Variegated Money Plant"/>
    <s v="UGAOO Variegated Money Plant  (Pack of 1)"/>
    <n v="449"/>
    <n v="359"/>
    <n v="0.2"/>
    <n v="4.4000000000000004"/>
    <s v="Small"/>
    <s v=" Shrub"/>
    <s v=" Indoor"/>
    <s v="UGAOO"/>
    <s v="No Returns Allowed?"/>
    <n v="808"/>
    <n v="0.84"/>
    <x v="0"/>
  </r>
  <r>
    <s v="1754310657-384"/>
    <s v="UGAOO Jade Plant"/>
    <s v="UGAOO Jade Plant  (Hybrid, Pack of 1)"/>
    <n v="449"/>
    <n v="335"/>
    <n v="0.25"/>
    <n v="4"/>
    <s v="Small"/>
    <s v=" Succulent"/>
    <s v=" Indoor"/>
    <s v="UGAOO"/>
    <s v="No Returns Allowed?"/>
    <n v="784"/>
    <n v="0.84"/>
    <x v="0"/>
  </r>
  <r>
    <s v="1754310661-385"/>
    <s v="AloGardening Adenium Plant"/>
    <s v="AloGardening Adenium Plant  (Hybrid, Pack of 6)"/>
    <n v="789"/>
    <n v="286"/>
    <n v="0.63"/>
    <n v="3.3"/>
    <s v="Small"/>
    <s v=" Flower"/>
    <s v=" Indoor, Outdoor"/>
    <s v="RoyANDRoyTraders"/>
    <s v="No Returns Allowed?"/>
    <n v="1075"/>
    <n v="0.84"/>
    <x v="0"/>
  </r>
  <r>
    <s v="1754310664-386"/>
    <s v="Cloud Farm Pomegranate Plant"/>
    <s v="Cloud Farm Pomegranate Plant  (Hybrid, Pack of 1)"/>
    <n v="499"/>
    <n v="142"/>
    <n v="0.71"/>
    <n v="3.3"/>
    <s v="Medium"/>
    <s v=" Fruit"/>
    <s v=" Outdoor"/>
    <s v="CloudFarming"/>
    <s v="No Returns Allowed?"/>
    <n v="641"/>
    <n v="0.84"/>
    <x v="0"/>
  </r>
  <r>
    <s v="1754310669-387"/>
    <s v="Mohomaya Star Fruit Carambola Grafted Plant"/>
    <s v="Mohomaya Star Fruit Carambola Grafted Plant  (Hybrid, Pack of 1)"/>
    <n v="998"/>
    <n v="283"/>
    <n v="0.71"/>
    <n v="4"/>
    <s v="Small"/>
    <s v=" Fruit"/>
    <s v=" Indoor, Outdoor"/>
    <s v="GOPANURSERY"/>
    <s v="No Returns Allowed?"/>
    <n v="1281"/>
    <n v="0.84"/>
    <x v="0"/>
  </r>
  <r>
    <s v="1754310682-388"/>
    <s v="Risenshine Apple Plant"/>
    <s v="Risenshine Apple Plant  (Hybrid, Pack of 1)"/>
    <n v="599"/>
    <n v="147"/>
    <n v="0.75"/>
    <n v="3.4"/>
    <s v="Small"/>
    <s v=" Fruit"/>
    <s v=" Outdoor"/>
    <s v="TheEntacloo"/>
    <s v="No Returns Allowed?"/>
    <n v="746"/>
    <n v="0.84"/>
    <x v="0"/>
  </r>
  <r>
    <s v="1754310685-389"/>
    <s v="UGAOO Jade Plant"/>
    <s v="UGAOO Jade Plant  (Hybrid, Pack of 1)"/>
    <n v="499"/>
    <n v="426"/>
    <n v="0.14000000000000001"/>
    <n v="4.2"/>
    <s v="Small"/>
    <s v=" Succulent"/>
    <s v=" Indoor"/>
    <s v="UGAOO"/>
    <s v="No Returns Allowed?"/>
    <n v="925"/>
    <n v="0.84"/>
    <x v="0"/>
  </r>
  <r>
    <s v="1754310687-390"/>
    <s v="UGAOO Jade Plant"/>
    <s v="UGAOO Jade Plant  (Hybrid, Pack of 1)"/>
    <n v="499"/>
    <n v="335"/>
    <n v="0.32"/>
    <n v="4"/>
    <s v="Small"/>
    <s v=" Succulent"/>
    <s v=" Indoor"/>
    <s v="UGAOO"/>
    <s v="No Returns Allowed?"/>
    <n v="834"/>
    <n v="0.84"/>
    <x v="1"/>
  </r>
  <r>
    <s v="1754310689-391"/>
    <s v="Cloud Farm Peace Lily Plant"/>
    <s v="Cloud Farm Peace Lily Plant  (Hybrid, Pack of 2)"/>
    <n v="400"/>
    <n v="179"/>
    <n v="0.55000000000000004"/>
    <n v="3.4"/>
    <s v="Medium"/>
    <s v=" Flower"/>
    <s v=" Indoor"/>
    <s v="AlaiStore"/>
    <s v="No Returns Allowed?"/>
    <n v="579"/>
    <n v="0.84"/>
    <x v="1"/>
  </r>
  <r>
    <s v="1754310693-392"/>
    <s v="FSK Clove Plant"/>
    <s v="FSK Clove Plant  (Hybrid, Pack of 1)"/>
    <n v="499"/>
    <n v="144"/>
    <n v="0.71"/>
    <n v="2.6"/>
    <s v="Medium"/>
    <s v=" Herb"/>
    <s v=" Outdoor"/>
    <s v="GreenyOn"/>
    <s v="No Returns Allowed?"/>
    <n v="643"/>
    <n v="0.84"/>
    <x v="0"/>
  </r>
  <r>
    <s v="1754310696-393"/>
    <s v="Mohomaya Hibiscus Plant"/>
    <s v="Mohomaya Hibiscus Plant  (Hybrid, Pack of 1)"/>
    <n v="999"/>
    <n v="283"/>
    <n v="0.71"/>
    <n v="4"/>
    <s v="Small"/>
    <s v=" Flower"/>
    <s v=" Indoor, Outdoor"/>
    <s v="GLOBQRO"/>
    <s v="No Returns Allowed?"/>
    <n v="1282"/>
    <n v="0.84"/>
    <x v="0"/>
  </r>
  <r>
    <s v="1754310699-394"/>
    <s v="PLANTTOOZS Rose Plant"/>
    <s v="PLANTTOOZS Rose Plant  (Hybrid, Pack of 1)"/>
    <n v="499"/>
    <n v="139"/>
    <n v="0.72"/>
    <n v="3.8"/>
    <s v="Small"/>
    <s v=" Flower"/>
    <s v=" Indoor, Outdoor"/>
    <s v="OXYGREENPLANT"/>
    <s v="No Returns Allowed?"/>
    <n v="638"/>
    <n v="0.84"/>
    <x v="0"/>
  </r>
  <r>
    <s v="1754310702-395"/>
    <s v="UGAOO Variegated Money Plant"/>
    <s v="UGAOO Variegated Money Plant  (Pack of 1)"/>
    <n v="445"/>
    <n v="335"/>
    <n v="0.24"/>
    <n v="4.4000000000000004"/>
    <s v="Small"/>
    <s v=" Shrub"/>
    <s v=" Indoor"/>
    <s v="UGAOO"/>
    <s v="No Returns Allowed?"/>
    <n v="780"/>
    <n v="0.84"/>
    <x v="0"/>
  </r>
  <r>
    <s v="1754310704-396"/>
    <s v="FSK Kiwi Plant"/>
    <s v="FSK Kiwi Plant  (Hybrid, Pack of 1)"/>
    <n v="499"/>
    <n v="135"/>
    <n v="0.72"/>
    <n v="3.4"/>
    <s v="Medium"/>
    <s v=" Fruit"/>
    <s v=" Outdoor"/>
    <s v="Digitalgreenpar"/>
    <s v="No Returns Allowed?"/>
    <n v="634"/>
    <n v="0.84"/>
    <x v="1"/>
  </r>
  <r>
    <s v="1754310707-397"/>
    <s v="AloGardening Guava Plant"/>
    <s v="AloGardening Guava Plant  (Hybrid, Pack of 1)"/>
    <n v="349"/>
    <n v="142"/>
    <n v="0.59"/>
    <n v="3.5"/>
    <s v="Small"/>
    <s v=" Fruit"/>
    <s v="indoor \outdoor"/>
    <s v="RoyANDRoyTraders"/>
    <s v="No Returns Allowed?"/>
    <n v="491"/>
    <n v="0.84"/>
    <x v="1"/>
  </r>
  <r>
    <s v="1754310709-398"/>
    <s v="SKDIYA Money Plant"/>
    <s v="SKDIYA Money Plant  (Hybrid, Pack of 1)"/>
    <n v="499"/>
    <n v="167"/>
    <n v="0.66"/>
    <n v="3.5"/>
    <s v="Small"/>
    <s v=" Foliage"/>
    <s v=" Indoor, Outdoor"/>
    <s v="RIDHIMAHALDER"/>
    <s v="No Returns Allowed?"/>
    <n v="666"/>
    <n v="0.84"/>
    <x v="0"/>
  </r>
  <r>
    <s v="1754310712-399"/>
    <s v="UGAOO Jade Plant"/>
    <s v="UGAOO Jade Plant  (Hybrid, Pack of 1)"/>
    <n v="495"/>
    <n v="331"/>
    <n v="0.33"/>
    <n v="4.0999999999999996"/>
    <s v="Small"/>
    <s v=" Succulent"/>
    <s v=" Indoor"/>
    <s v="UGAOO"/>
    <s v="No Returns Allowed?"/>
    <n v="826"/>
    <n v="0.84"/>
    <x v="1"/>
  </r>
  <r>
    <s v="1754310715-400"/>
    <s v="UGAOO Jade Plant"/>
    <s v="UGAOO Jade Plant  (Pack of 1)"/>
    <n v="349"/>
    <n v="325"/>
    <n v="0.06"/>
    <n v="4"/>
    <s v="Small"/>
    <s v=" Succulent"/>
    <s v=" Indoor"/>
    <s v="UGAOO"/>
    <s v="No Returns Allowed?"/>
    <n v="674"/>
    <n v="0.84"/>
    <x v="1"/>
  </r>
  <r>
    <s v="1754310717-401"/>
    <s v="Cloud Farm Clove Plant"/>
    <s v="Cloud Farm Clove Plant  (Hybrid, Pack of 1)"/>
    <n v="299"/>
    <n v="145"/>
    <n v="0.51"/>
    <n v="3.5"/>
    <s v="Medium"/>
    <s v=" Herb"/>
    <s v=" Outdoor"/>
    <s v="CloudFarming"/>
    <s v="No Returns Allowed?"/>
    <n v="444"/>
    <n v="0.84"/>
    <x v="2"/>
  </r>
  <r>
    <s v="1754310723-402"/>
    <s v="Oxygreenplant Shahtoot/Mulberry Plant"/>
    <s v="Oxygreenplant Shahtoot/Mulberry Plant  (Hybrid, Pack of 1)"/>
    <n v="399"/>
    <n v="140"/>
    <n v="0.64"/>
    <n v="3.6"/>
    <s v="Small"/>
    <s v=" Fruit"/>
    <s v="indoor \outdoor"/>
    <s v="OXYGREENPLANT"/>
    <s v="No Returns Allowed?"/>
    <n v="539"/>
    <n v="0.84"/>
    <x v="2"/>
  </r>
  <r>
    <s v="1754310726-403"/>
    <s v="UGAOO Golden Money Plant"/>
    <s v="UGAOO Golden Money Plant  (Pack of 1)"/>
    <n v="449"/>
    <n v="349"/>
    <n v="0.22"/>
    <n v="4.3"/>
    <s v="Small"/>
    <s v=" Shrub"/>
    <s v=" Indoor"/>
    <s v="UGAOO"/>
    <s v="No Returns Allowed?"/>
    <n v="798"/>
    <n v="0.84"/>
    <x v="2"/>
  </r>
  <r>
    <s v="1754310728-404"/>
    <s v="UGAOO Variegated Money Plant"/>
    <s v="UGAOO Variegated Money Plant  (Pack of 1)"/>
    <n v="449"/>
    <n v="384"/>
    <n v="0.14000000000000001"/>
    <n v="4.4000000000000004"/>
    <s v="Small"/>
    <s v=" Shrub"/>
    <s v=" Indoor"/>
    <s v="UGAOO"/>
    <s v="No Returns Allowed?"/>
    <n v="833"/>
    <n v="0.84"/>
    <x v="2"/>
  </r>
  <r>
    <s v="1754310731-405"/>
    <s v="Cloud Farm Grapes Plant"/>
    <s v="Cloud Farm Grapes Plant  (Hybrid, Pack of 1)"/>
    <n v="299"/>
    <n v="145"/>
    <n v="0.51"/>
    <n v="3.1"/>
    <s v="Medium"/>
    <s v=" Fruit"/>
    <s v=" Outdoor"/>
    <s v="AlaiStore"/>
    <s v="No Returns Allowed?"/>
    <n v="444"/>
    <n v="0.84"/>
    <x v="2"/>
  </r>
  <r>
    <s v="1754310733-406"/>
    <s v="Mohomaya Mango Plant"/>
    <s v="Mohomaya Mango Plant  (Hybrid, Pack of 1)"/>
    <n v="999"/>
    <n v="220"/>
    <n v="0.77"/>
    <n v="4"/>
    <s v="Small"/>
    <s v=" Fruit"/>
    <s v=" Indoor, Outdoor"/>
    <s v="SRDEWAN"/>
    <s v="No Returns Allowed?"/>
    <n v="1219"/>
    <n v="0.84"/>
    <x v="2"/>
  </r>
  <r>
    <s v="1754310736-407"/>
    <s v="Cloud Farm Kiwi Plant"/>
    <s v="Cloud Farm Kiwi Plant  (Hybrid, Pack of 1)"/>
    <n v="399"/>
    <n v="160"/>
    <n v="0.59"/>
    <n v="3.1"/>
    <s v="Medium"/>
    <s v=" Fruit"/>
    <s v=" Outdoor"/>
    <s v="AlaiStore"/>
    <s v="No Returns Allowed?"/>
    <n v="559"/>
    <n v="0.84"/>
    <x v="2"/>
  </r>
  <r>
    <s v="1754310738-408"/>
    <s v="Cloud Farm Pomegranate Plant"/>
    <s v="Cloud Farm Pomegranate Plant  (Hybrid, Pack of 1)"/>
    <n v="399"/>
    <n v="145"/>
    <n v="0.63"/>
    <n v="3.7"/>
    <s v="Medium"/>
    <s v=" Fruit"/>
    <s v=" Outdoor"/>
    <s v="AlaiStore"/>
    <s v="No Returns Allowed?"/>
    <n v="544"/>
    <n v="0.84"/>
    <x v="2"/>
  </r>
  <r>
    <s v="1754310741-409"/>
    <s v="UGAOO Jade Plant"/>
    <s v="UGAOO Jade Plant  (Hybrid, Pack of 1)"/>
    <n v="499"/>
    <n v="335"/>
    <n v="0.32"/>
    <n v="4"/>
    <s v="Small"/>
    <s v=" Succulent"/>
    <s v=" Indoor"/>
    <s v="UGAOO"/>
    <s v="No Returns Allowed?"/>
    <n v="834"/>
    <n v="0.84"/>
    <x v="2"/>
  </r>
  <r>
    <s v="1754310743-410"/>
    <s v="UGAOO Jade Plant"/>
    <s v="UGAOO Jade Plant  (Hybrid, Pack of 1)"/>
    <n v="749"/>
    <n v="516"/>
    <n v="0.31"/>
    <n v="3.6"/>
    <s v="Small"/>
    <s v=" Succulent"/>
    <s v=" Indoor"/>
    <s v="UGAOO"/>
    <s v="No Returns Allowed?"/>
    <n v="1265"/>
    <n v="0.84"/>
    <x v="2"/>
  </r>
  <r>
    <s v="1754310746-411"/>
    <s v="Cloud Farm Jack Fruit Plant"/>
    <s v="Cloud Farm Jack Fruit Plant  (Hybrid, Pack of 1)"/>
    <n v="299"/>
    <n v="145"/>
    <n v="0.51"/>
    <n v="3.3"/>
    <s v="Medium"/>
    <s v=" Fruit"/>
    <s v=" Outdoor"/>
    <s v="AlaiStore"/>
    <s v="No Returns Allowed?"/>
    <n v="444"/>
    <n v="0.84"/>
    <x v="2"/>
  </r>
  <r>
    <s v="1754310748-412"/>
    <s v="Greenium Aglaonema Plant"/>
    <s v="Greenium Aglaonema Plant  (Hybrid, Pack of 1)"/>
    <n v="699"/>
    <n v="212"/>
    <n v="0.69"/>
    <n v="4"/>
    <s v="Medium"/>
    <s v=" Air purifier plant"/>
    <s v=" Indoor, Outdoor"/>
    <s v="Greenium"/>
    <s v="No Returns Allowed?"/>
    <n v="911"/>
    <n v="0.84"/>
    <x v="2"/>
  </r>
  <r>
    <s v="1754310756-413"/>
    <s v="UGAOO Njoy Money Plant"/>
    <s v="UGAOO Njoy Money Plant  (Hybrid, Pack of 1)"/>
    <n v="549"/>
    <n v="388"/>
    <n v="0.28999999999999998"/>
    <n v="4.3"/>
    <s v="Small"/>
    <s v=" Foliage"/>
    <s v=" Indoor"/>
    <s v="UGAOO"/>
    <s v="No Returns Allowed?"/>
    <n v="937"/>
    <n v="0.84"/>
    <x v="2"/>
  </r>
  <r>
    <s v="1754310758-414"/>
    <s v="UGAOO Golden Money Plant"/>
    <s v="UGAOO Golden Money Plant  (Pack of 1)"/>
    <n v="449"/>
    <n v="349"/>
    <n v="0.22"/>
    <n v="4.3"/>
    <s v="Small"/>
    <s v=" Shrub"/>
    <s v=" Indoor"/>
    <s v="UGAOO"/>
    <s v="No Returns Allowed?"/>
    <n v="798"/>
    <n v="0.84"/>
    <x v="2"/>
  </r>
  <r>
    <s v="1754310761-415"/>
    <s v="Gabbro Two Layer Bamboo Plant"/>
    <s v="Gabbro Two Layer Bamboo Plant  (Hybrid, Pack of 1)"/>
    <n v="1099"/>
    <n v="300"/>
    <n v="0.72"/>
    <n v="4.4000000000000004"/>
    <s v="Medium"/>
    <s v=" Bamboo"/>
    <s v=" Indoor"/>
    <s v="Gabbro"/>
    <s v="No Returns Allowed?"/>
    <n v="1399"/>
    <n v="0.84"/>
    <x v="2"/>
  </r>
  <r>
    <s v="1754310764-416"/>
    <s v="pomgardening Apple Plant"/>
    <s v="pomgardening Apple Plant  (Hybrid, Pack of 1)"/>
    <n v="759"/>
    <n v="120"/>
    <n v="0.84"/>
    <n v="3.5"/>
    <s v="Small"/>
    <s v=" Fruit"/>
    <s v=" Outdoor"/>
    <s v="Sarkarplantenterprise"/>
    <s v="No Returns Allowed?"/>
    <n v="879"/>
    <n v="0.84"/>
    <x v="2"/>
  </r>
  <r>
    <s v="1754310767-417"/>
    <s v="AMBRUZZ Rose Plant"/>
    <s v="AMBRUZZ Rose Plant  (Hybrid, Pack of 4)"/>
    <n v="599"/>
    <n v="177"/>
    <n v="0.7"/>
    <n v="3.4"/>
    <s v="Medium"/>
    <s v=" Flower"/>
    <s v=" Outdoor"/>
    <s v="Asvora"/>
    <s v="No Returns Allowed?"/>
    <n v="776"/>
    <n v="0.76"/>
    <x v="2"/>
  </r>
  <r>
    <s v="1754310769-418"/>
    <s v="Cloud Farm Grapes Plant"/>
    <s v="Cloud Farm Grapes Plant  (Hybrid, Pack of 1)"/>
    <n v="299"/>
    <n v="145"/>
    <n v="0.51"/>
    <n v="4.3"/>
    <s v="Medium"/>
    <s v=" Fruit"/>
    <s v=" Outdoor"/>
    <s v="AlaiStore"/>
    <s v="No Returns Allowed?"/>
    <n v="444"/>
    <n v="0.76"/>
    <x v="2"/>
  </r>
  <r>
    <s v="1754310772-419"/>
    <s v="UGAOO Golden Money Plant"/>
    <s v="UGAOO Golden Money Plant  (Pack of 1)"/>
    <n v="449"/>
    <n v="349"/>
    <n v="0.22"/>
    <n v="4.3"/>
    <s v="Small"/>
    <s v=" Shrub"/>
    <s v=" Indoor"/>
    <s v="UGAOO"/>
    <s v="No Returns Allowed?"/>
    <n v="798"/>
    <n v="0.76"/>
    <x v="2"/>
  </r>
  <r>
    <s v="1754310775-420"/>
    <s v="UGAOO Jade Plant"/>
    <s v="UGAOO Jade Plant  (Hybrid, Pack of 1)"/>
    <n v="499"/>
    <n v="424"/>
    <n v="0.15"/>
    <n v="4.3"/>
    <s v="Small"/>
    <s v=" Succulent"/>
    <s v=" Indoor"/>
    <s v="UGAOO"/>
    <s v="No Returns Allowed?"/>
    <n v="923"/>
    <n v="0.76"/>
    <x v="2"/>
  </r>
  <r>
    <s v="1754310777-421"/>
    <s v="Hot Climate Apple Plant"/>
    <s v="Hot Climate Apple Plant  (Hybrid, Pack of 1)"/>
    <n v="579"/>
    <n v="135"/>
    <n v="0.76"/>
    <n v="3.3"/>
    <s v="Small"/>
    <s v=" Fruit"/>
    <s v=" Outdoor"/>
    <s v="CultivaEnterprise"/>
    <s v="No Returns Allowed?"/>
    <n v="714"/>
    <n v="0.76"/>
    <x v="2"/>
  </r>
  <r>
    <s v="1754310780-422"/>
    <s v="Cloud Farm Guava Plant"/>
    <s v="Cloud Farm Guava Plant  (Hybrid, Pack of 1)"/>
    <n v="499"/>
    <n v="135"/>
    <n v="0.72"/>
    <n v="4"/>
    <s v="Small"/>
    <s v=" Fruit"/>
    <s v=" Outdoor"/>
    <s v="CloudFarming"/>
    <s v="No Returns Allowed?"/>
    <n v="634"/>
    <n v="0.75"/>
    <x v="2"/>
  </r>
  <r>
    <s v="1754310782-423"/>
    <s v="UGAOO Variegated Money Plant"/>
    <s v="UGAOO Variegated Money Plant  (Pack of 1)"/>
    <n v="449"/>
    <n v="359"/>
    <n v="0.2"/>
    <n v="4.4000000000000004"/>
    <s v="Small"/>
    <s v=" Shrub"/>
    <s v=" Indoor"/>
    <s v="UGAOO"/>
    <s v="No Returns Allowed?"/>
    <n v="808"/>
    <n v="0.75"/>
    <x v="2"/>
  </r>
  <r>
    <s v="1754310785-424"/>
    <s v="UGAOO Jade Plant"/>
    <s v="UGAOO Jade Plant  (Hybrid, Pack of 1)"/>
    <n v="449"/>
    <n v="335"/>
    <n v="0.25"/>
    <n v="4"/>
    <s v="Small"/>
    <s v=" Succulent"/>
    <s v=" Indoor"/>
    <s v="UGAOO"/>
    <s v="No Returns Allowed?"/>
    <n v="784"/>
    <n v="0.75"/>
    <x v="2"/>
  </r>
  <r>
    <s v="1754310796-425"/>
    <s v="AloGardening Adenium Plant"/>
    <s v="AloGardening Adenium Plant  (Hybrid, Pack of 6)"/>
    <n v="789"/>
    <n v="286"/>
    <n v="0.63"/>
    <n v="3.3"/>
    <s v="Small"/>
    <s v=" Flower"/>
    <s v=" Indoor, Outdoor"/>
    <s v="RoyANDRoyTraders"/>
    <s v="No Returns Allowed?"/>
    <n v="1075"/>
    <n v="0.75"/>
    <x v="2"/>
  </r>
  <r>
    <s v="1754310799-426"/>
    <s v="Cloud Farm Pomegranate Plant"/>
    <s v="Cloud Farm Pomegranate Plant  (Hybrid, Pack of 1)"/>
    <n v="499"/>
    <n v="142"/>
    <n v="0.71"/>
    <n v="3.3"/>
    <s v="Medium"/>
    <s v=" Fruit"/>
    <s v=" Outdoor"/>
    <s v="CloudFarming"/>
    <s v="No Returns Allowed?"/>
    <n v="641"/>
    <n v="0.75"/>
    <x v="2"/>
  </r>
  <r>
    <s v="1754310801-427"/>
    <s v="Mohomaya Star Fruit Carambola Grafted Plant"/>
    <s v="Mohomaya Star Fruit Carambola Grafted Plant  (Hybrid, Pack of 1)"/>
    <n v="998"/>
    <n v="283"/>
    <n v="0.71"/>
    <n v="4"/>
    <s v="Small"/>
    <s v=" Fruit"/>
    <s v=" Indoor, Outdoor"/>
    <s v="GOPANURSERY"/>
    <s v="No Returns Allowed?"/>
    <n v="1281"/>
    <n v="0.75"/>
    <x v="2"/>
  </r>
  <r>
    <s v="1754310804-428"/>
    <s v="Risenshine Apple Plant"/>
    <s v="Risenshine Apple Plant  (Hybrid, Pack of 1)"/>
    <n v="599"/>
    <n v="147"/>
    <n v="0.75"/>
    <n v="3.4"/>
    <s v="Small"/>
    <s v=" Fruit"/>
    <s v=" Outdoor"/>
    <s v="TheEntacloo"/>
    <s v="No Returns Allowed?"/>
    <n v="746"/>
    <n v="0.75"/>
    <x v="2"/>
  </r>
  <r>
    <s v="1754310806-429"/>
    <s v="UGAOO Jade Plant"/>
    <s v="UGAOO Jade Plant  (Hybrid, Pack of 1)"/>
    <n v="499"/>
    <n v="426"/>
    <n v="0.14000000000000001"/>
    <n v="4.2"/>
    <s v="Small"/>
    <s v=" Succulent"/>
    <s v=" Indoor"/>
    <s v="UGAOO"/>
    <s v="No Returns Allowed?"/>
    <n v="925"/>
    <n v="0.72"/>
    <x v="2"/>
  </r>
  <r>
    <s v="1754310809-430"/>
    <s v="UGAOO Jade Plant"/>
    <s v="UGAOO Jade Plant  (Hybrid, Pack of 1)"/>
    <n v="499"/>
    <n v="335"/>
    <n v="0.32"/>
    <n v="4"/>
    <s v="Small"/>
    <s v=" Succulent"/>
    <s v=" Indoor"/>
    <s v="UGAOO"/>
    <s v="No Returns Allowed?"/>
    <n v="834"/>
    <n v="0.72"/>
    <x v="2"/>
  </r>
  <r>
    <s v="1754310811-431"/>
    <s v="Cloud Farm Peace Lily Plant"/>
    <s v="Cloud Farm Peace Lily Plant  (Hybrid, Pack of 2)"/>
    <n v="400"/>
    <n v="179"/>
    <n v="0.55000000000000004"/>
    <n v="3.4"/>
    <s v="Medium"/>
    <s v=" Flower"/>
    <s v=" Indoor"/>
    <s v="AlaiStore"/>
    <s v="No Returns Allowed?"/>
    <n v="579"/>
    <n v="0.72"/>
    <x v="2"/>
  </r>
  <r>
    <s v="1754310814-432"/>
    <s v="FSK Clove Plant"/>
    <s v="FSK Clove Plant  (Hybrid, Pack of 1)"/>
    <n v="499"/>
    <n v="144"/>
    <n v="0.71"/>
    <n v="2.6"/>
    <s v="Medium"/>
    <s v=" Herb"/>
    <s v=" Outdoor"/>
    <s v="GreenyOn"/>
    <s v="No Returns Allowed?"/>
    <n v="643"/>
    <n v="0.72"/>
    <x v="2"/>
  </r>
  <r>
    <s v="1754310816-433"/>
    <s v="Mohomaya Hibiscus Plant"/>
    <s v="Mohomaya Hibiscus Plant  (Hybrid, Pack of 1)"/>
    <n v="999"/>
    <n v="283"/>
    <n v="0.71"/>
    <n v="4"/>
    <s v="Small"/>
    <s v=" Flower"/>
    <s v=" Indoor, Outdoor"/>
    <s v="GLOBQRO"/>
    <s v="No Returns Allowed?"/>
    <n v="1282"/>
    <n v="0.72"/>
    <x v="2"/>
  </r>
  <r>
    <s v="1754310819-434"/>
    <s v="PLANTTOOZS Rose Plant"/>
    <s v="PLANTTOOZS Rose Plant  (Hybrid, Pack of 1)"/>
    <n v="499"/>
    <n v="139"/>
    <n v="0.72"/>
    <n v="3.8"/>
    <s v="Small"/>
    <s v=" Flower"/>
    <s v=" Indoor, Outdoor"/>
    <s v="OXYGREENPLANT"/>
    <s v="No Returns Allowed?"/>
    <n v="638"/>
    <n v="0.72"/>
    <x v="2"/>
  </r>
  <r>
    <s v="1754310824-435"/>
    <s v="UGAOO Variegated Money Plant"/>
    <s v="UGAOO Variegated Money Plant  (Pack of 1)"/>
    <n v="445"/>
    <n v="335"/>
    <n v="0.24"/>
    <n v="4.4000000000000004"/>
    <s v="Small"/>
    <s v=" Shrub"/>
    <s v=" Indoor"/>
    <s v="UGAOO"/>
    <s v="No Returns Allowed?"/>
    <n v="780"/>
    <n v="0.72"/>
    <x v="2"/>
  </r>
  <r>
    <s v="1754310842-436"/>
    <s v="FSK Kiwi Plant"/>
    <s v="FSK Kiwi Plant  (Hybrid, Pack of 1)"/>
    <n v="499"/>
    <n v="135"/>
    <n v="0.72"/>
    <n v="3.4"/>
    <s v="Medium"/>
    <s v=" Fruit"/>
    <s v=" Outdoor"/>
    <s v="Digitalgreenpar"/>
    <s v="No Returns Allowed?"/>
    <n v="634"/>
    <n v="0.72"/>
    <x v="2"/>
  </r>
  <r>
    <s v="1754310853-437"/>
    <s v="AloGardening Guava Plant"/>
    <s v="AloGardening Guava Plant  (Hybrid, Pack of 1)"/>
    <n v="349"/>
    <n v="142"/>
    <n v="0.59"/>
    <n v="3.5"/>
    <s v="Small"/>
    <s v=" Fruit"/>
    <s v="indoor \outdoor"/>
    <s v="RoyANDRoyTraders"/>
    <s v="No Returns Allowed?"/>
    <n v="491"/>
    <n v="0.66"/>
    <x v="2"/>
  </r>
  <r>
    <s v="1754310856-438"/>
    <s v="SKDIYA Money Plant"/>
    <s v="SKDIYA Money Plant  (Hybrid, Pack of 1)"/>
    <n v="499"/>
    <n v="167"/>
    <n v="0.66"/>
    <n v="3.5"/>
    <s v="Small"/>
    <s v=" Foliage"/>
    <s v=" Indoor, Outdoor"/>
    <s v="RIDHIMAHALDER"/>
    <s v="No Returns Allowed?"/>
    <n v="666"/>
    <n v="0.66"/>
    <x v="2"/>
  </r>
  <r>
    <s v="1754310859-439"/>
    <s v="UGAOO Jade Plant"/>
    <s v="UGAOO Jade Plant  (Hybrid, Pack of 1)"/>
    <n v="495"/>
    <n v="331"/>
    <n v="0.33"/>
    <n v="4.0999999999999996"/>
    <s v="Small"/>
    <s v=" Succulent"/>
    <s v=" Indoor"/>
    <s v="UGAOO"/>
    <s v="No Returns Allowed?"/>
    <n v="826"/>
    <n v="0.33"/>
    <x v="2"/>
  </r>
  <r>
    <s v="1754310861-440"/>
    <s v="UGAOO Jade Plant"/>
    <s v="UGAOO Jade Plant  (Pack of 1)"/>
    <n v="349"/>
    <n v="325"/>
    <n v="0.06"/>
    <n v="4"/>
    <s v="Small"/>
    <s v=" Succulent"/>
    <s v=" Indoor"/>
    <s v="UGAOO"/>
    <s v="No Returns Allowed?"/>
    <n v="674"/>
    <n v="0.0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4A551-B1AA-4B70-B929-81291EAF4F14}" name="PivotTable2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dataField="1" showAll="0"/>
    <pivotField showAll="0"/>
    <pivotField showAll="0"/>
    <pivotField numFmtId="2" showAll="0"/>
    <pivotField dataField="1" numFmtId="2" showAll="0"/>
    <pivotField dataField="1" numFmtId="9" showAll="0"/>
    <pivotField showAll="0"/>
    <pivotField showAll="0"/>
    <pivotField showAll="0"/>
    <pivotField showAll="0"/>
    <pivotField showAll="0"/>
    <pivotField showAll="0"/>
    <pivotField numFmtId="2" showAll="0"/>
    <pivotField numFmtId="9" showAll="0"/>
    <pivotField showAll="0"/>
  </pivotFields>
  <rowItems count="1">
    <i/>
  </rowItems>
  <colFields count="1">
    <field x="-2"/>
  </colFields>
  <colItems count="3">
    <i>
      <x/>
    </i>
    <i i="1">
      <x v="1"/>
    </i>
    <i i="2">
      <x v="2"/>
    </i>
  </colItems>
  <dataFields count="3">
    <dataField name="Count of ID" fld="0" subtotal="count" baseField="0" baseItem="0"/>
    <dataField name="Average of DISCOUNT" fld="5" subtotal="average" baseField="0" baseItem="1" numFmtId="9"/>
    <dataField name="Average of SPECIAL PRICE" fld="4"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D92D3-5E90-434C-AC38-210A07E67AE1}" name="PivotTable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dataField="1" showAll="0"/>
    <pivotField showAll="0"/>
    <pivotField showAll="0"/>
    <pivotField numFmtId="2" showAll="0"/>
    <pivotField numFmtId="2" showAll="0"/>
    <pivotField numFmtId="9" showAll="0"/>
    <pivotField showAll="0"/>
    <pivotField axis="axisRow" showAll="0">
      <items count="5">
        <item x="2"/>
        <item x="3"/>
        <item x="0"/>
        <item x="1"/>
        <item t="default"/>
      </items>
    </pivotField>
    <pivotField showAll="0">
      <items count="12">
        <item x="4"/>
        <item x="6"/>
        <item x="0"/>
        <item x="10"/>
        <item x="8"/>
        <item x="5"/>
        <item x="7"/>
        <item x="2"/>
        <item x="1"/>
        <item x="3"/>
        <item x="9"/>
        <item t="default"/>
      </items>
    </pivotField>
    <pivotField showAll="0"/>
    <pivotField showAll="0"/>
    <pivotField showAll="0"/>
    <pivotField numFmtId="2" showAll="0"/>
    <pivotField numFmtId="9" showAll="0"/>
  </pivotFields>
  <rowFields count="1">
    <field x="7"/>
  </rowFields>
  <rowItems count="5">
    <i>
      <x/>
    </i>
    <i>
      <x v="1"/>
    </i>
    <i>
      <x v="2"/>
    </i>
    <i>
      <x v="3"/>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AD41F-236C-43B5-93B4-DF1221462E8D}" name="PivotTable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5" firstHeaderRow="1" firstDataRow="1" firstDataCol="1"/>
  <pivotFields count="14">
    <pivotField dataField="1" showAll="0"/>
    <pivotField showAll="0"/>
    <pivotField showAll="0"/>
    <pivotField numFmtId="2" showAll="0"/>
    <pivotField numFmtId="2" showAll="0"/>
    <pivotField numFmtId="9" showAll="0"/>
    <pivotField showAll="0"/>
    <pivotField showAll="0"/>
    <pivotField showAll="0">
      <items count="12">
        <item x="4"/>
        <item x="6"/>
        <item x="0"/>
        <item x="10"/>
        <item x="8"/>
        <item x="5"/>
        <item x="7"/>
        <item x="2"/>
        <item x="1"/>
        <item x="3"/>
        <item x="9"/>
        <item t="default"/>
      </items>
    </pivotField>
    <pivotField showAll="0"/>
    <pivotField showAll="0"/>
    <pivotField axis="axisRow" showAll="0">
      <items count="2">
        <item x="0"/>
        <item t="default"/>
      </items>
    </pivotField>
    <pivotField numFmtId="2" showAll="0"/>
    <pivotField numFmtId="9" showAll="0"/>
  </pivotFields>
  <rowFields count="1">
    <field x="11"/>
  </rowFields>
  <rowItems count="2">
    <i>
      <x/>
    </i>
    <i t="grand">
      <x/>
    </i>
  </rowItems>
  <colItems count="1">
    <i/>
  </colItems>
  <dataFields count="1">
    <dataField name="Count of ID" fld="0" subtotal="count" baseField="0" baseItem="0"/>
  </dataFields>
  <chartFormats count="3">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D2DB03-1726-457B-BF5C-7BA91298A9FB}" name="PivotTable2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5">
    <pivotField dataField="1" showAll="0"/>
    <pivotField showAll="0"/>
    <pivotField showAll="0"/>
    <pivotField numFmtId="2" showAll="0"/>
    <pivotField numFmtId="2" showAll="0"/>
    <pivotField numFmtId="9" showAll="0"/>
    <pivotField showAll="0"/>
    <pivotField showAll="0"/>
    <pivotField showAll="0"/>
    <pivotField showAll="0"/>
    <pivotField showAll="0"/>
    <pivotField showAll="0"/>
    <pivotField numFmtId="2" showAll="0"/>
    <pivotField numFmtId="9" showAll="0"/>
    <pivotField axis="axisRow" showAll="0">
      <items count="4">
        <item x="0"/>
        <item x="1"/>
        <item h="1" x="2"/>
        <item t="default"/>
      </items>
    </pivotField>
  </pivotFields>
  <rowFields count="1">
    <field x="14"/>
  </rowFields>
  <rowItems count="3">
    <i>
      <x/>
    </i>
    <i>
      <x v="1"/>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E148E6-4C16-4962-A7A3-255DBA864567}" name="PivotTable19"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4">
    <pivotField dataField="1" showAll="0"/>
    <pivotField showAll="0">
      <items count="176">
        <item x="94"/>
        <item x="38"/>
        <item x="10"/>
        <item x="28"/>
        <item x="80"/>
        <item x="17"/>
        <item x="6"/>
        <item x="127"/>
        <item x="14"/>
        <item x="170"/>
        <item x="37"/>
        <item x="158"/>
        <item x="114"/>
        <item x="18"/>
        <item x="157"/>
        <item x="168"/>
        <item x="78"/>
        <item x="146"/>
        <item x="82"/>
        <item x="118"/>
        <item x="50"/>
        <item x="83"/>
        <item x="56"/>
        <item x="123"/>
        <item x="150"/>
        <item x="91"/>
        <item x="19"/>
        <item x="134"/>
        <item x="93"/>
        <item x="105"/>
        <item x="60"/>
        <item x="1"/>
        <item x="63"/>
        <item x="47"/>
        <item x="117"/>
        <item x="88"/>
        <item x="144"/>
        <item x="98"/>
        <item x="16"/>
        <item x="13"/>
        <item x="9"/>
        <item x="49"/>
        <item x="164"/>
        <item x="148"/>
        <item x="151"/>
        <item x="152"/>
        <item x="166"/>
        <item x="51"/>
        <item x="132"/>
        <item x="161"/>
        <item x="149"/>
        <item x="155"/>
        <item x="162"/>
        <item x="113"/>
        <item x="23"/>
        <item x="140"/>
        <item x="74"/>
        <item x="57"/>
        <item x="153"/>
        <item x="160"/>
        <item x="75"/>
        <item x="30"/>
        <item x="89"/>
        <item x="39"/>
        <item x="96"/>
        <item x="142"/>
        <item x="76"/>
        <item x="141"/>
        <item x="46"/>
        <item x="69"/>
        <item x="68"/>
        <item x="7"/>
        <item x="143"/>
        <item x="108"/>
        <item x="34"/>
        <item x="139"/>
        <item x="92"/>
        <item x="29"/>
        <item x="64"/>
        <item x="120"/>
        <item x="167"/>
        <item x="159"/>
        <item x="70"/>
        <item x="95"/>
        <item x="99"/>
        <item x="22"/>
        <item x="156"/>
        <item x="67"/>
        <item x="87"/>
        <item x="129"/>
        <item x="85"/>
        <item x="125"/>
        <item x="122"/>
        <item x="84"/>
        <item x="71"/>
        <item x="43"/>
        <item x="124"/>
        <item x="21"/>
        <item x="62"/>
        <item x="20"/>
        <item x="133"/>
        <item x="165"/>
        <item x="48"/>
        <item x="72"/>
        <item x="52"/>
        <item x="169"/>
        <item x="128"/>
        <item x="59"/>
        <item x="5"/>
        <item x="40"/>
        <item x="42"/>
        <item x="119"/>
        <item x="53"/>
        <item x="81"/>
        <item x="66"/>
        <item x="110"/>
        <item x="58"/>
        <item x="154"/>
        <item x="41"/>
        <item x="106"/>
        <item x="104"/>
        <item x="109"/>
        <item x="138"/>
        <item x="12"/>
        <item x="44"/>
        <item x="121"/>
        <item x="112"/>
        <item x="171"/>
        <item x="115"/>
        <item x="135"/>
        <item x="33"/>
        <item x="137"/>
        <item x="25"/>
        <item x="0"/>
        <item x="15"/>
        <item x="116"/>
        <item x="55"/>
        <item x="32"/>
        <item x="36"/>
        <item x="31"/>
        <item x="131"/>
        <item x="107"/>
        <item x="77"/>
        <item x="103"/>
        <item x="35"/>
        <item x="4"/>
        <item x="101"/>
        <item x="173"/>
        <item x="97"/>
        <item x="126"/>
        <item x="163"/>
        <item x="172"/>
        <item x="65"/>
        <item x="145"/>
        <item x="61"/>
        <item x="111"/>
        <item x="45"/>
        <item x="73"/>
        <item x="90"/>
        <item x="174"/>
        <item x="26"/>
        <item x="79"/>
        <item x="54"/>
        <item x="100"/>
        <item x="27"/>
        <item x="3"/>
        <item x="8"/>
        <item x="24"/>
        <item x="11"/>
        <item x="130"/>
        <item x="147"/>
        <item x="136"/>
        <item x="2"/>
        <item x="86"/>
        <item x="102"/>
        <item t="default"/>
      </items>
    </pivotField>
    <pivotField showAll="0"/>
    <pivotField numFmtId="2" showAll="0"/>
    <pivotField numFmtId="2" showAll="0"/>
    <pivotField numFmtId="9" showAll="0"/>
    <pivotField showAll="0"/>
    <pivotField showAll="0"/>
    <pivotField axis="axisRow" showAll="0">
      <items count="12">
        <item x="4"/>
        <item x="6"/>
        <item x="0"/>
        <item x="10"/>
        <item x="8"/>
        <item x="5"/>
        <item x="7"/>
        <item x="2"/>
        <item x="1"/>
        <item x="3"/>
        <item x="9"/>
        <item t="default"/>
      </items>
    </pivotField>
    <pivotField showAll="0"/>
    <pivotField showAll="0"/>
    <pivotField showAll="0"/>
    <pivotField numFmtId="2" showAll="0"/>
    <pivotField numFmtId="9" showAll="0"/>
  </pivotFields>
  <rowFields count="1">
    <field x="8"/>
  </rowFields>
  <rowItems count="12">
    <i>
      <x/>
    </i>
    <i>
      <x v="1"/>
    </i>
    <i>
      <x v="2"/>
    </i>
    <i>
      <x v="3"/>
    </i>
    <i>
      <x v="4"/>
    </i>
    <i>
      <x v="5"/>
    </i>
    <i>
      <x v="6"/>
    </i>
    <i>
      <x v="7"/>
    </i>
    <i>
      <x v="8"/>
    </i>
    <i>
      <x v="9"/>
    </i>
    <i>
      <x v="10"/>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B83C13-B8FA-44F5-8BDC-1B7C5EF9CF2E}" name="PivotTable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7" firstHeaderRow="1" firstDataRow="1" firstDataCol="1"/>
  <pivotFields count="14">
    <pivotField dataField="1" showAll="0"/>
    <pivotField showAll="0"/>
    <pivotField showAll="0"/>
    <pivotField numFmtId="2" showAll="0"/>
    <pivotField numFmtId="2" showAll="0"/>
    <pivotField numFmtId="9" showAll="0"/>
    <pivotField showAll="0"/>
    <pivotField showAll="0"/>
    <pivotField showAll="0">
      <items count="12">
        <item x="4"/>
        <item x="6"/>
        <item x="0"/>
        <item x="10"/>
        <item x="8"/>
        <item x="5"/>
        <item x="7"/>
        <item x="2"/>
        <item x="1"/>
        <item x="3"/>
        <item x="9"/>
        <item t="default"/>
      </items>
    </pivotField>
    <pivotField showAll="0"/>
    <pivotField axis="axisRow" showAll="0" measureFilter="1">
      <items count="75">
        <item x="5"/>
        <item x="36"/>
        <item x="57"/>
        <item x="65"/>
        <item x="3"/>
        <item x="16"/>
        <item x="29"/>
        <item x="67"/>
        <item x="66"/>
        <item x="71"/>
        <item x="17"/>
        <item x="27"/>
        <item x="40"/>
        <item x="31"/>
        <item x="19"/>
        <item x="41"/>
        <item x="12"/>
        <item x="49"/>
        <item x="43"/>
        <item x="63"/>
        <item x="52"/>
        <item x="55"/>
        <item x="44"/>
        <item x="56"/>
        <item x="72"/>
        <item x="58"/>
        <item x="28"/>
        <item x="50"/>
        <item x="6"/>
        <item x="14"/>
        <item x="47"/>
        <item x="46"/>
        <item x="37"/>
        <item x="70"/>
        <item x="22"/>
        <item x="53"/>
        <item x="21"/>
        <item x="60"/>
        <item x="35"/>
        <item x="4"/>
        <item x="45"/>
        <item x="61"/>
        <item x="8"/>
        <item x="42"/>
        <item x="26"/>
        <item x="38"/>
        <item x="1"/>
        <item x="68"/>
        <item x="64"/>
        <item x="32"/>
        <item x="0"/>
        <item x="48"/>
        <item x="25"/>
        <item x="62"/>
        <item x="13"/>
        <item x="69"/>
        <item x="73"/>
        <item x="23"/>
        <item x="15"/>
        <item x="11"/>
        <item x="33"/>
        <item x="7"/>
        <item x="39"/>
        <item x="59"/>
        <item x="34"/>
        <item x="9"/>
        <item x="54"/>
        <item x="10"/>
        <item x="18"/>
        <item x="30"/>
        <item x="51"/>
        <item x="24"/>
        <item x="2"/>
        <item x="20"/>
        <item t="default"/>
      </items>
    </pivotField>
    <pivotField showAll="0"/>
    <pivotField numFmtId="2" showAll="0"/>
    <pivotField numFmtId="9" showAll="0"/>
  </pivotFields>
  <rowFields count="1">
    <field x="10"/>
  </rowFields>
  <rowItems count="14">
    <i>
      <x v="4"/>
    </i>
    <i>
      <x v="11"/>
    </i>
    <i>
      <x v="14"/>
    </i>
    <i>
      <x v="18"/>
    </i>
    <i>
      <x v="23"/>
    </i>
    <i>
      <x v="28"/>
    </i>
    <i>
      <x v="43"/>
    </i>
    <i>
      <x v="46"/>
    </i>
    <i>
      <x v="50"/>
    </i>
    <i>
      <x v="59"/>
    </i>
    <i>
      <x v="65"/>
    </i>
    <i>
      <x v="68"/>
    </i>
    <i>
      <x v="72"/>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A8E10F9-898F-401C-99C5-99707D2C5C24}" sourceName="TYPE">
  <pivotTables>
    <pivotTable tabId="12" name="PivotTable19"/>
    <pivotTable tabId="5" name="PivotTable1"/>
    <pivotTable tabId="7" name="PivotTable3"/>
    <pivotTable tabId="6" name="PivotTable2"/>
  </pivotTables>
  <data>
    <tabular pivotCacheId="452638298">
      <items count="11">
        <i x="4" s="1"/>
        <i x="6" s="1"/>
        <i x="0" s="1"/>
        <i x="10" s="1"/>
        <i x="8" s="1"/>
        <i x="5" s="1"/>
        <i x="7" s="1"/>
        <i x="2" s="1"/>
        <i x="1" s="1"/>
        <i x="3"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08486E9-F65B-4FDF-AAE7-69170CC2A111}" cache="Slicer_TYPE" caption="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D03F953B-519B-4A69-A46A-FC370067D1CD}" cache="Slicer_TYPE" caption="TYP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1"/>
  <sheetViews>
    <sheetView zoomScale="46" workbookViewId="0">
      <selection activeCell="C17" sqref="C17"/>
    </sheetView>
  </sheetViews>
  <sheetFormatPr defaultRowHeight="15.75" x14ac:dyDescent="0.25"/>
  <cols>
    <col min="1" max="1" width="15.875" bestFit="1" customWidth="1"/>
    <col min="2" max="2" width="27.125" customWidth="1"/>
    <col min="3" max="3" width="43.375" customWidth="1"/>
    <col min="4" max="4" width="14.25" bestFit="1" customWidth="1"/>
    <col min="5" max="5" width="12.625" bestFit="1" customWidth="1"/>
    <col min="6" max="6" width="9.5" bestFit="1" customWidth="1"/>
    <col min="7" max="7" width="7.125" bestFit="1" customWidth="1"/>
    <col min="8" max="8" width="10" bestFit="1" customWidth="1"/>
    <col min="9" max="9" width="19.75" customWidth="1"/>
    <col min="10" max="10" width="31.125" customWidth="1"/>
    <col min="11" max="11" width="20" bestFit="1" customWidth="1"/>
    <col min="12" max="12" width="18" bestFit="1" customWidth="1"/>
  </cols>
  <sheetData>
    <row r="1" spans="1:13" x14ac:dyDescent="0.25">
      <c r="A1" s="1" t="s">
        <v>1162</v>
      </c>
      <c r="B1" s="1" t="s">
        <v>1163</v>
      </c>
      <c r="C1" s="1" t="s">
        <v>0</v>
      </c>
      <c r="D1" s="1" t="s">
        <v>1</v>
      </c>
      <c r="E1" s="1" t="s">
        <v>2</v>
      </c>
      <c r="F1" s="1" t="s">
        <v>3</v>
      </c>
      <c r="G1" s="1" t="s">
        <v>4</v>
      </c>
      <c r="H1" s="1" t="s">
        <v>5</v>
      </c>
      <c r="I1" s="1" t="s">
        <v>6</v>
      </c>
      <c r="J1" s="1" t="s">
        <v>7</v>
      </c>
      <c r="K1" s="1" t="s">
        <v>8</v>
      </c>
      <c r="L1" s="1" t="s">
        <v>9</v>
      </c>
      <c r="M1" s="1"/>
    </row>
    <row r="2" spans="1:13" x14ac:dyDescent="0.25">
      <c r="A2" s="1" t="s">
        <v>10</v>
      </c>
      <c r="B2" s="1" t="s">
        <v>11</v>
      </c>
      <c r="C2" s="1" t="s">
        <v>12</v>
      </c>
      <c r="D2" s="1" t="s">
        <v>13</v>
      </c>
      <c r="E2" s="1" t="s">
        <v>14</v>
      </c>
      <c r="F2" s="1" t="s">
        <v>15</v>
      </c>
      <c r="G2" s="1" t="s">
        <v>16</v>
      </c>
      <c r="H2" s="1" t="s">
        <v>17</v>
      </c>
      <c r="I2" s="1" t="s">
        <v>18</v>
      </c>
      <c r="J2" s="1" t="s">
        <v>19</v>
      </c>
      <c r="K2" s="1" t="s">
        <v>20</v>
      </c>
      <c r="L2" s="1" t="s">
        <v>21</v>
      </c>
      <c r="M2" s="1"/>
    </row>
    <row r="3" spans="1:13" x14ac:dyDescent="0.25">
      <c r="A3" s="1" t="s">
        <v>22</v>
      </c>
      <c r="B3" s="1" t="s">
        <v>23</v>
      </c>
      <c r="C3" s="1" t="s">
        <v>24</v>
      </c>
      <c r="D3" s="1" t="s">
        <v>25</v>
      </c>
      <c r="E3" s="1" t="s">
        <v>26</v>
      </c>
      <c r="F3" s="1" t="s">
        <v>27</v>
      </c>
      <c r="G3" s="1" t="s">
        <v>28</v>
      </c>
      <c r="H3" s="1" t="s">
        <v>29</v>
      </c>
      <c r="I3" s="1" t="s">
        <v>18</v>
      </c>
      <c r="J3" s="1" t="s">
        <v>30</v>
      </c>
      <c r="K3" s="1" t="s">
        <v>31</v>
      </c>
      <c r="L3" s="1" t="s">
        <v>21</v>
      </c>
    </row>
    <row r="4" spans="1:13" x14ac:dyDescent="0.25">
      <c r="A4" s="1" t="s">
        <v>32</v>
      </c>
      <c r="B4" s="1" t="s">
        <v>33</v>
      </c>
      <c r="C4" s="1" t="s">
        <v>34</v>
      </c>
      <c r="D4" s="1" t="s">
        <v>35</v>
      </c>
      <c r="E4" s="1" t="s">
        <v>36</v>
      </c>
      <c r="F4" s="1" t="s">
        <v>37</v>
      </c>
      <c r="G4" s="1" t="s">
        <v>38</v>
      </c>
      <c r="H4" s="1" t="s">
        <v>29</v>
      </c>
      <c r="I4" s="1" t="s">
        <v>39</v>
      </c>
      <c r="J4" s="1" t="s">
        <v>40</v>
      </c>
      <c r="K4" s="1" t="s">
        <v>41</v>
      </c>
      <c r="L4" s="1" t="s">
        <v>21</v>
      </c>
    </row>
    <row r="5" spans="1:13" x14ac:dyDescent="0.25">
      <c r="A5" s="1" t="s">
        <v>42</v>
      </c>
      <c r="B5" s="1" t="s">
        <v>43</v>
      </c>
      <c r="C5" s="1" t="s">
        <v>44</v>
      </c>
      <c r="D5" s="1" t="s">
        <v>35</v>
      </c>
      <c r="E5" s="1" t="s">
        <v>45</v>
      </c>
      <c r="F5" s="1" t="s">
        <v>46</v>
      </c>
      <c r="G5" s="1" t="s">
        <v>47</v>
      </c>
      <c r="H5" s="1" t="s">
        <v>29</v>
      </c>
      <c r="I5" s="1" t="s">
        <v>39</v>
      </c>
      <c r="J5" s="1" t="s">
        <v>40</v>
      </c>
      <c r="K5" s="1" t="s">
        <v>41</v>
      </c>
      <c r="L5" s="1" t="s">
        <v>21</v>
      </c>
    </row>
    <row r="6" spans="1:13" x14ac:dyDescent="0.25">
      <c r="A6" s="1" t="s">
        <v>48</v>
      </c>
      <c r="B6" s="1" t="s">
        <v>49</v>
      </c>
      <c r="C6" s="1" t="s">
        <v>50</v>
      </c>
      <c r="D6" s="1" t="s">
        <v>51</v>
      </c>
      <c r="E6" s="1" t="s">
        <v>52</v>
      </c>
      <c r="F6" s="1" t="s">
        <v>53</v>
      </c>
      <c r="G6" s="1" t="s">
        <v>16</v>
      </c>
      <c r="H6" s="1" t="s">
        <v>17</v>
      </c>
      <c r="I6" s="1" t="s">
        <v>54</v>
      </c>
      <c r="J6" s="1" t="s">
        <v>19</v>
      </c>
      <c r="K6" s="1" t="s">
        <v>55</v>
      </c>
      <c r="L6" s="1" t="s">
        <v>21</v>
      </c>
    </row>
    <row r="7" spans="1:13" x14ac:dyDescent="0.25">
      <c r="A7" s="1" t="s">
        <v>56</v>
      </c>
      <c r="B7" s="1" t="s">
        <v>57</v>
      </c>
      <c r="C7" s="1" t="s">
        <v>58</v>
      </c>
      <c r="D7" s="1" t="s">
        <v>51</v>
      </c>
      <c r="E7" s="1" t="s">
        <v>59</v>
      </c>
      <c r="F7" s="1" t="s">
        <v>60</v>
      </c>
      <c r="G7" s="1" t="s">
        <v>61</v>
      </c>
      <c r="H7" s="1" t="s">
        <v>29</v>
      </c>
      <c r="I7" s="1" t="s">
        <v>54</v>
      </c>
      <c r="J7" s="1" t="s">
        <v>30</v>
      </c>
      <c r="K7" s="1" t="s">
        <v>62</v>
      </c>
      <c r="L7" s="1" t="s">
        <v>21</v>
      </c>
    </row>
    <row r="8" spans="1:13" x14ac:dyDescent="0.25">
      <c r="A8" s="1" t="s">
        <v>63</v>
      </c>
      <c r="B8" s="1" t="s">
        <v>64</v>
      </c>
      <c r="C8" s="1" t="s">
        <v>65</v>
      </c>
      <c r="D8" s="1" t="s">
        <v>66</v>
      </c>
      <c r="E8" s="1" t="s">
        <v>67</v>
      </c>
      <c r="F8" s="1" t="s">
        <v>68</v>
      </c>
      <c r="G8" s="1" t="s">
        <v>16</v>
      </c>
      <c r="H8" s="1" t="s">
        <v>29</v>
      </c>
      <c r="I8" s="1" t="s">
        <v>39</v>
      </c>
      <c r="J8" s="1" t="s">
        <v>30</v>
      </c>
      <c r="K8" s="1" t="s">
        <v>69</v>
      </c>
      <c r="L8" s="1" t="s">
        <v>21</v>
      </c>
    </row>
    <row r="9" spans="1:13" x14ac:dyDescent="0.25">
      <c r="A9" s="1" t="s">
        <v>70</v>
      </c>
      <c r="B9" s="1" t="s">
        <v>71</v>
      </c>
      <c r="C9" s="1" t="s">
        <v>72</v>
      </c>
      <c r="D9" s="1" t="s">
        <v>25</v>
      </c>
      <c r="E9" s="1" t="s">
        <v>73</v>
      </c>
      <c r="F9" s="1" t="s">
        <v>74</v>
      </c>
      <c r="G9" s="1" t="s">
        <v>75</v>
      </c>
      <c r="H9" s="1" t="s">
        <v>29</v>
      </c>
      <c r="I9" s="1" t="s">
        <v>54</v>
      </c>
      <c r="J9" s="1" t="s">
        <v>19</v>
      </c>
      <c r="K9" s="1" t="s">
        <v>55</v>
      </c>
      <c r="L9" s="1" t="s">
        <v>21</v>
      </c>
    </row>
    <row r="10" spans="1:13" x14ac:dyDescent="0.25">
      <c r="A10" s="1" t="s">
        <v>76</v>
      </c>
      <c r="B10" s="1" t="s">
        <v>33</v>
      </c>
      <c r="C10" s="1" t="s">
        <v>34</v>
      </c>
      <c r="D10" s="1" t="s">
        <v>35</v>
      </c>
      <c r="E10" s="1" t="s">
        <v>36</v>
      </c>
      <c r="F10" s="1" t="s">
        <v>37</v>
      </c>
      <c r="G10" s="1" t="s">
        <v>38</v>
      </c>
      <c r="H10" s="1" t="s">
        <v>29</v>
      </c>
      <c r="I10" s="1" t="s">
        <v>39</v>
      </c>
      <c r="J10" s="1" t="s">
        <v>40</v>
      </c>
      <c r="K10" s="1" t="s">
        <v>41</v>
      </c>
      <c r="L10" s="1" t="s">
        <v>21</v>
      </c>
    </row>
    <row r="11" spans="1:13" x14ac:dyDescent="0.25">
      <c r="A11" s="1" t="s">
        <v>77</v>
      </c>
      <c r="B11" s="1" t="s">
        <v>78</v>
      </c>
      <c r="C11" s="1" t="s">
        <v>79</v>
      </c>
      <c r="D11" s="1" t="s">
        <v>51</v>
      </c>
      <c r="E11" s="1" t="s">
        <v>80</v>
      </c>
      <c r="F11" s="1" t="s">
        <v>81</v>
      </c>
      <c r="G11" s="1" t="s">
        <v>82</v>
      </c>
      <c r="H11" s="1" t="s">
        <v>29</v>
      </c>
      <c r="I11" s="1" t="s">
        <v>83</v>
      </c>
      <c r="J11" s="1" t="s">
        <v>40</v>
      </c>
      <c r="K11" s="1" t="s">
        <v>41</v>
      </c>
      <c r="L11" s="1" t="s">
        <v>21</v>
      </c>
    </row>
    <row r="12" spans="1:13" x14ac:dyDescent="0.25">
      <c r="A12" s="1" t="s">
        <v>84</v>
      </c>
      <c r="B12" s="1" t="s">
        <v>85</v>
      </c>
      <c r="C12" s="1" t="s">
        <v>86</v>
      </c>
      <c r="D12" s="1" t="s">
        <v>13</v>
      </c>
      <c r="E12" s="1" t="s">
        <v>87</v>
      </c>
      <c r="F12" s="1" t="s">
        <v>60</v>
      </c>
      <c r="G12" s="1" t="s">
        <v>16</v>
      </c>
      <c r="H12" s="1" t="s">
        <v>17</v>
      </c>
      <c r="I12" s="1" t="s">
        <v>39</v>
      </c>
      <c r="J12" s="1" t="s">
        <v>19</v>
      </c>
      <c r="K12" s="1" t="s">
        <v>88</v>
      </c>
      <c r="L12" s="1" t="s">
        <v>21</v>
      </c>
    </row>
    <row r="13" spans="1:13" x14ac:dyDescent="0.25">
      <c r="A13" s="1" t="s">
        <v>89</v>
      </c>
      <c r="B13" s="1" t="s">
        <v>90</v>
      </c>
      <c r="C13" s="1" t="s">
        <v>91</v>
      </c>
      <c r="D13" s="1" t="s">
        <v>66</v>
      </c>
      <c r="E13" s="1" t="s">
        <v>92</v>
      </c>
      <c r="F13" s="1" t="s">
        <v>93</v>
      </c>
      <c r="G13" s="1" t="s">
        <v>16</v>
      </c>
      <c r="H13" s="1" t="s">
        <v>29</v>
      </c>
      <c r="I13" s="1" t="s">
        <v>94</v>
      </c>
      <c r="J13" s="1" t="s">
        <v>30</v>
      </c>
      <c r="K13" s="1" t="s">
        <v>31</v>
      </c>
      <c r="L13" s="1" t="s">
        <v>21</v>
      </c>
    </row>
    <row r="14" spans="1:13" x14ac:dyDescent="0.25">
      <c r="A14" s="1" t="s">
        <v>95</v>
      </c>
      <c r="B14" s="1" t="s">
        <v>78</v>
      </c>
      <c r="C14" s="1" t="s">
        <v>79</v>
      </c>
      <c r="D14" s="1" t="s">
        <v>96</v>
      </c>
      <c r="E14" s="1" t="s">
        <v>97</v>
      </c>
      <c r="F14" s="1" t="s">
        <v>98</v>
      </c>
      <c r="G14" s="1" t="s">
        <v>99</v>
      </c>
      <c r="H14" s="1" t="s">
        <v>29</v>
      </c>
      <c r="I14" s="1" t="s">
        <v>83</v>
      </c>
      <c r="J14" s="1" t="s">
        <v>40</v>
      </c>
      <c r="K14" s="1" t="s">
        <v>41</v>
      </c>
      <c r="L14" s="1" t="s">
        <v>21</v>
      </c>
    </row>
    <row r="15" spans="1:13" x14ac:dyDescent="0.25">
      <c r="A15" s="1" t="s">
        <v>100</v>
      </c>
      <c r="B15" s="1" t="s">
        <v>101</v>
      </c>
      <c r="C15" s="1" t="s">
        <v>102</v>
      </c>
      <c r="D15" s="1" t="s">
        <v>103</v>
      </c>
      <c r="E15" s="1" t="s">
        <v>104</v>
      </c>
      <c r="F15" s="1" t="s">
        <v>105</v>
      </c>
      <c r="G15" s="1" t="s">
        <v>47</v>
      </c>
      <c r="H15" s="1" t="s">
        <v>29</v>
      </c>
      <c r="I15" s="1" t="s">
        <v>106</v>
      </c>
      <c r="J15" s="1" t="s">
        <v>40</v>
      </c>
      <c r="K15" s="1" t="s">
        <v>41</v>
      </c>
      <c r="L15" s="1" t="s">
        <v>21</v>
      </c>
    </row>
    <row r="16" spans="1:13" x14ac:dyDescent="0.25">
      <c r="A16" s="1" t="s">
        <v>107</v>
      </c>
      <c r="B16" s="1" t="s">
        <v>90</v>
      </c>
      <c r="C16" s="1" t="s">
        <v>91</v>
      </c>
      <c r="D16" s="1" t="s">
        <v>108</v>
      </c>
      <c r="E16" s="1" t="s">
        <v>109</v>
      </c>
      <c r="F16" s="1" t="s">
        <v>110</v>
      </c>
      <c r="G16" s="1" t="s">
        <v>16</v>
      </c>
      <c r="H16" s="1" t="s">
        <v>29</v>
      </c>
      <c r="I16" s="1" t="s">
        <v>94</v>
      </c>
      <c r="J16" s="1" t="s">
        <v>30</v>
      </c>
      <c r="K16" s="1" t="s">
        <v>111</v>
      </c>
      <c r="L16" s="1" t="s">
        <v>21</v>
      </c>
    </row>
    <row r="17" spans="1:12" x14ac:dyDescent="0.25">
      <c r="A17" s="1" t="s">
        <v>112</v>
      </c>
      <c r="B17" s="1" t="s">
        <v>113</v>
      </c>
      <c r="C17" s="1" t="s">
        <v>114</v>
      </c>
      <c r="D17" s="1" t="s">
        <v>13</v>
      </c>
      <c r="E17" s="1" t="s">
        <v>115</v>
      </c>
      <c r="F17" s="1" t="s">
        <v>116</v>
      </c>
      <c r="G17" s="1" t="s">
        <v>16</v>
      </c>
      <c r="H17" s="1" t="s">
        <v>29</v>
      </c>
      <c r="I17" s="1" t="s">
        <v>117</v>
      </c>
      <c r="J17" s="1" t="s">
        <v>30</v>
      </c>
      <c r="K17" s="1" t="s">
        <v>118</v>
      </c>
      <c r="L17" s="1" t="s">
        <v>21</v>
      </c>
    </row>
    <row r="18" spans="1:12" x14ac:dyDescent="0.25">
      <c r="A18" s="1" t="s">
        <v>119</v>
      </c>
      <c r="B18" s="1" t="s">
        <v>120</v>
      </c>
      <c r="C18" s="1" t="s">
        <v>121</v>
      </c>
      <c r="D18" s="1" t="s">
        <v>51</v>
      </c>
      <c r="E18" s="1" t="s">
        <v>122</v>
      </c>
      <c r="F18" s="1" t="s">
        <v>123</v>
      </c>
      <c r="G18" s="1" t="s">
        <v>16</v>
      </c>
      <c r="H18" s="1" t="s">
        <v>17</v>
      </c>
      <c r="I18" s="1" t="s">
        <v>54</v>
      </c>
      <c r="J18" s="1" t="s">
        <v>19</v>
      </c>
      <c r="K18" s="1" t="s">
        <v>55</v>
      </c>
      <c r="L18" s="1" t="s">
        <v>21</v>
      </c>
    </row>
    <row r="19" spans="1:12" x14ac:dyDescent="0.25">
      <c r="A19" s="1" t="s">
        <v>124</v>
      </c>
      <c r="B19" s="1" t="s">
        <v>125</v>
      </c>
      <c r="C19" s="1" t="s">
        <v>126</v>
      </c>
      <c r="D19" s="1" t="s">
        <v>127</v>
      </c>
      <c r="E19" s="1" t="s">
        <v>87</v>
      </c>
      <c r="F19" s="1" t="s">
        <v>128</v>
      </c>
      <c r="G19" s="1" t="s">
        <v>129</v>
      </c>
      <c r="H19" s="1" t="s">
        <v>29</v>
      </c>
      <c r="I19" s="1" t="s">
        <v>54</v>
      </c>
      <c r="J19" s="1" t="s">
        <v>19</v>
      </c>
      <c r="K19" s="1" t="s">
        <v>55</v>
      </c>
      <c r="L19" s="1" t="s">
        <v>21</v>
      </c>
    </row>
    <row r="20" spans="1:12" x14ac:dyDescent="0.25">
      <c r="A20" s="1" t="s">
        <v>130</v>
      </c>
      <c r="B20" s="1" t="s">
        <v>43</v>
      </c>
      <c r="C20" s="1" t="s">
        <v>44</v>
      </c>
      <c r="D20" s="1" t="s">
        <v>35</v>
      </c>
      <c r="E20" s="1" t="s">
        <v>45</v>
      </c>
      <c r="F20" s="1" t="s">
        <v>46</v>
      </c>
      <c r="G20" s="1" t="s">
        <v>47</v>
      </c>
      <c r="H20" s="1" t="s">
        <v>29</v>
      </c>
      <c r="I20" s="1" t="s">
        <v>39</v>
      </c>
      <c r="J20" s="1" t="s">
        <v>40</v>
      </c>
      <c r="K20" s="1" t="s">
        <v>41</v>
      </c>
      <c r="L20" s="1" t="s">
        <v>21</v>
      </c>
    </row>
    <row r="21" spans="1:12" x14ac:dyDescent="0.25">
      <c r="A21" s="1" t="s">
        <v>131</v>
      </c>
      <c r="B21" s="1" t="s">
        <v>43</v>
      </c>
      <c r="C21" s="1" t="s">
        <v>44</v>
      </c>
      <c r="D21" s="1" t="s">
        <v>35</v>
      </c>
      <c r="E21" s="1" t="s">
        <v>45</v>
      </c>
      <c r="F21" s="1" t="s">
        <v>46</v>
      </c>
      <c r="G21" s="1" t="s">
        <v>47</v>
      </c>
      <c r="H21" s="1" t="s">
        <v>29</v>
      </c>
      <c r="I21" s="1" t="s">
        <v>39</v>
      </c>
      <c r="J21" s="1" t="s">
        <v>40</v>
      </c>
      <c r="K21" s="1" t="s">
        <v>41</v>
      </c>
      <c r="L21" s="1" t="s">
        <v>21</v>
      </c>
    </row>
    <row r="22" spans="1:12" x14ac:dyDescent="0.25">
      <c r="A22" s="1" t="s">
        <v>132</v>
      </c>
      <c r="B22" s="1" t="s">
        <v>133</v>
      </c>
      <c r="C22" s="1" t="s">
        <v>134</v>
      </c>
      <c r="D22" s="1" t="s">
        <v>135</v>
      </c>
      <c r="E22" s="1" t="s">
        <v>136</v>
      </c>
      <c r="F22" s="1" t="s">
        <v>137</v>
      </c>
      <c r="G22" s="1" t="s">
        <v>16</v>
      </c>
      <c r="H22" s="1" t="s">
        <v>17</v>
      </c>
      <c r="I22" s="1" t="s">
        <v>54</v>
      </c>
      <c r="J22" s="1" t="s">
        <v>19</v>
      </c>
      <c r="K22" s="1" t="s">
        <v>20</v>
      </c>
      <c r="L22" s="1" t="s">
        <v>21</v>
      </c>
    </row>
    <row r="23" spans="1:12" x14ac:dyDescent="0.25">
      <c r="A23" s="1" t="s">
        <v>138</v>
      </c>
      <c r="B23" s="1" t="s">
        <v>139</v>
      </c>
      <c r="C23" s="1" t="s">
        <v>140</v>
      </c>
      <c r="D23" s="1" t="s">
        <v>13</v>
      </c>
      <c r="E23" s="1" t="s">
        <v>87</v>
      </c>
      <c r="F23" s="1" t="s">
        <v>60</v>
      </c>
      <c r="G23" s="1" t="s">
        <v>16</v>
      </c>
      <c r="H23" s="1" t="s">
        <v>17</v>
      </c>
      <c r="I23" s="1" t="s">
        <v>141</v>
      </c>
      <c r="J23" s="1" t="s">
        <v>19</v>
      </c>
      <c r="K23" s="1" t="s">
        <v>88</v>
      </c>
      <c r="L23" s="1" t="s">
        <v>21</v>
      </c>
    </row>
    <row r="24" spans="1:12" x14ac:dyDescent="0.25">
      <c r="A24" s="1" t="s">
        <v>142</v>
      </c>
      <c r="B24" s="1" t="s">
        <v>78</v>
      </c>
      <c r="C24" s="1" t="s">
        <v>79</v>
      </c>
      <c r="D24" s="1" t="s">
        <v>51</v>
      </c>
      <c r="E24" s="1" t="s">
        <v>143</v>
      </c>
      <c r="F24" s="1" t="s">
        <v>144</v>
      </c>
      <c r="G24" s="1" t="s">
        <v>47</v>
      </c>
      <c r="H24" s="1" t="s">
        <v>29</v>
      </c>
      <c r="I24" s="1" t="s">
        <v>83</v>
      </c>
      <c r="J24" s="1" t="s">
        <v>40</v>
      </c>
      <c r="K24" s="1" t="s">
        <v>41</v>
      </c>
      <c r="L24" s="1" t="s">
        <v>21</v>
      </c>
    </row>
    <row r="25" spans="1:12" x14ac:dyDescent="0.25">
      <c r="A25" s="1" t="s">
        <v>145</v>
      </c>
      <c r="B25" s="1" t="s">
        <v>33</v>
      </c>
      <c r="C25" s="1" t="s">
        <v>34</v>
      </c>
      <c r="D25" s="1" t="s">
        <v>35</v>
      </c>
      <c r="E25" s="1" t="s">
        <v>146</v>
      </c>
      <c r="F25" s="1" t="s">
        <v>147</v>
      </c>
      <c r="G25" s="1" t="s">
        <v>38</v>
      </c>
      <c r="H25" s="1" t="s">
        <v>29</v>
      </c>
      <c r="I25" s="1" t="s">
        <v>39</v>
      </c>
      <c r="J25" s="1" t="s">
        <v>40</v>
      </c>
      <c r="K25" s="1" t="s">
        <v>41</v>
      </c>
      <c r="L25" s="1" t="s">
        <v>21</v>
      </c>
    </row>
    <row r="26" spans="1:12" x14ac:dyDescent="0.25">
      <c r="A26" s="1" t="s">
        <v>148</v>
      </c>
      <c r="B26" s="1" t="s">
        <v>23</v>
      </c>
      <c r="C26" s="1" t="s">
        <v>24</v>
      </c>
      <c r="D26" s="1" t="s">
        <v>149</v>
      </c>
      <c r="E26" s="1" t="s">
        <v>150</v>
      </c>
      <c r="F26" s="1" t="s">
        <v>151</v>
      </c>
      <c r="G26" s="1" t="s">
        <v>152</v>
      </c>
      <c r="H26" s="1" t="s">
        <v>29</v>
      </c>
      <c r="I26" s="1" t="s">
        <v>39</v>
      </c>
      <c r="J26" s="1" t="s">
        <v>30</v>
      </c>
      <c r="K26" s="1" t="s">
        <v>153</v>
      </c>
      <c r="L26" s="1" t="s">
        <v>21</v>
      </c>
    </row>
    <row r="27" spans="1:12" x14ac:dyDescent="0.25">
      <c r="A27" s="1" t="s">
        <v>154</v>
      </c>
      <c r="B27" s="1" t="s">
        <v>155</v>
      </c>
      <c r="C27" s="1" t="s">
        <v>156</v>
      </c>
      <c r="D27" s="1" t="s">
        <v>157</v>
      </c>
      <c r="E27" s="1" t="s">
        <v>158</v>
      </c>
      <c r="F27" s="1" t="s">
        <v>159</v>
      </c>
      <c r="G27" s="1" t="s">
        <v>160</v>
      </c>
      <c r="H27" s="1" t="s">
        <v>29</v>
      </c>
      <c r="I27" s="1" t="s">
        <v>54</v>
      </c>
      <c r="J27" s="1" t="s">
        <v>19</v>
      </c>
      <c r="K27" s="1" t="s">
        <v>55</v>
      </c>
      <c r="L27" s="1" t="s">
        <v>21</v>
      </c>
    </row>
    <row r="28" spans="1:12" x14ac:dyDescent="0.25">
      <c r="A28" s="1" t="s">
        <v>161</v>
      </c>
      <c r="B28" s="1" t="s">
        <v>90</v>
      </c>
      <c r="C28" s="1" t="s">
        <v>91</v>
      </c>
      <c r="D28" s="1" t="s">
        <v>108</v>
      </c>
      <c r="E28" s="1" t="s">
        <v>59</v>
      </c>
      <c r="F28" s="1" t="s">
        <v>162</v>
      </c>
      <c r="G28" s="1" t="s">
        <v>16</v>
      </c>
      <c r="H28" s="1" t="s">
        <v>29</v>
      </c>
      <c r="I28" s="1" t="s">
        <v>94</v>
      </c>
      <c r="J28" s="1" t="s">
        <v>30</v>
      </c>
      <c r="K28" s="1" t="s">
        <v>163</v>
      </c>
      <c r="L28" s="1" t="s">
        <v>21</v>
      </c>
    </row>
    <row r="29" spans="1:12" x14ac:dyDescent="0.25">
      <c r="A29" s="1" t="s">
        <v>164</v>
      </c>
      <c r="B29" s="1" t="s">
        <v>165</v>
      </c>
      <c r="C29" s="1" t="s">
        <v>166</v>
      </c>
      <c r="D29" s="1" t="s">
        <v>35</v>
      </c>
      <c r="E29" s="1" t="s">
        <v>167</v>
      </c>
      <c r="F29" s="1" t="s">
        <v>74</v>
      </c>
      <c r="G29" s="1" t="s">
        <v>16</v>
      </c>
      <c r="H29" s="1" t="s">
        <v>29</v>
      </c>
      <c r="I29" s="1" t="s">
        <v>106</v>
      </c>
      <c r="J29" s="1" t="s">
        <v>168</v>
      </c>
      <c r="K29" s="1" t="s">
        <v>169</v>
      </c>
      <c r="L29" s="1" t="s">
        <v>21</v>
      </c>
    </row>
    <row r="30" spans="1:12" x14ac:dyDescent="0.25">
      <c r="A30" s="1" t="s">
        <v>170</v>
      </c>
      <c r="B30" s="1" t="s">
        <v>78</v>
      </c>
      <c r="C30" s="1" t="s">
        <v>79</v>
      </c>
      <c r="D30" s="1" t="s">
        <v>35</v>
      </c>
      <c r="E30" s="1" t="s">
        <v>80</v>
      </c>
      <c r="F30" s="1" t="s">
        <v>171</v>
      </c>
      <c r="G30" s="1" t="s">
        <v>82</v>
      </c>
      <c r="H30" s="1" t="s">
        <v>29</v>
      </c>
      <c r="I30" s="1" t="s">
        <v>83</v>
      </c>
      <c r="J30" s="1" t="s">
        <v>40</v>
      </c>
      <c r="K30" s="1" t="s">
        <v>41</v>
      </c>
      <c r="L30" s="1" t="s">
        <v>21</v>
      </c>
    </row>
    <row r="31" spans="1:12" x14ac:dyDescent="0.25">
      <c r="A31" s="1" t="s">
        <v>172</v>
      </c>
      <c r="B31" s="1" t="s">
        <v>78</v>
      </c>
      <c r="C31" s="1" t="s">
        <v>79</v>
      </c>
      <c r="D31" s="1" t="s">
        <v>51</v>
      </c>
      <c r="E31" s="1" t="s">
        <v>173</v>
      </c>
      <c r="F31" s="1" t="s">
        <v>37</v>
      </c>
      <c r="G31" s="1" t="s">
        <v>174</v>
      </c>
      <c r="H31" s="1" t="s">
        <v>29</v>
      </c>
      <c r="I31" s="1" t="s">
        <v>83</v>
      </c>
      <c r="J31" s="1" t="s">
        <v>40</v>
      </c>
      <c r="K31" s="1" t="s">
        <v>41</v>
      </c>
      <c r="L31" s="1" t="s">
        <v>21</v>
      </c>
    </row>
    <row r="32" spans="1:12" x14ac:dyDescent="0.25">
      <c r="A32" s="1" t="s">
        <v>175</v>
      </c>
      <c r="B32" s="1" t="s">
        <v>176</v>
      </c>
      <c r="C32" s="1" t="s">
        <v>177</v>
      </c>
      <c r="D32" s="1" t="s">
        <v>178</v>
      </c>
      <c r="E32" s="1" t="s">
        <v>179</v>
      </c>
      <c r="F32" s="1" t="s">
        <v>180</v>
      </c>
      <c r="G32" s="1" t="s">
        <v>16</v>
      </c>
      <c r="H32" s="1" t="s">
        <v>29</v>
      </c>
      <c r="I32" s="1" t="s">
        <v>117</v>
      </c>
      <c r="J32" s="1" t="s">
        <v>181</v>
      </c>
      <c r="K32" s="1" t="s">
        <v>182</v>
      </c>
      <c r="L32" s="1" t="s">
        <v>21</v>
      </c>
    </row>
    <row r="33" spans="1:12" x14ac:dyDescent="0.25">
      <c r="A33" s="1" t="s">
        <v>183</v>
      </c>
      <c r="B33" s="1" t="s">
        <v>64</v>
      </c>
      <c r="C33" s="1" t="s">
        <v>65</v>
      </c>
      <c r="D33" s="1" t="s">
        <v>66</v>
      </c>
      <c r="E33" s="1" t="s">
        <v>67</v>
      </c>
      <c r="F33" s="1" t="s">
        <v>68</v>
      </c>
      <c r="G33" s="1" t="s">
        <v>16</v>
      </c>
      <c r="H33" s="1" t="s">
        <v>29</v>
      </c>
      <c r="I33" s="1" t="s">
        <v>39</v>
      </c>
      <c r="J33" s="1" t="s">
        <v>30</v>
      </c>
      <c r="K33" s="1" t="s">
        <v>69</v>
      </c>
      <c r="L33" s="1" t="s">
        <v>21</v>
      </c>
    </row>
    <row r="34" spans="1:12" x14ac:dyDescent="0.25">
      <c r="A34" s="1" t="s">
        <v>184</v>
      </c>
      <c r="B34" s="1" t="s">
        <v>78</v>
      </c>
      <c r="C34" s="1" t="s">
        <v>79</v>
      </c>
      <c r="D34" s="1" t="s">
        <v>51</v>
      </c>
      <c r="E34" s="1" t="s">
        <v>80</v>
      </c>
      <c r="F34" s="1" t="s">
        <v>81</v>
      </c>
      <c r="G34" s="1" t="s">
        <v>82</v>
      </c>
      <c r="H34" s="1" t="s">
        <v>29</v>
      </c>
      <c r="I34" s="1" t="s">
        <v>83</v>
      </c>
      <c r="J34" s="1" t="s">
        <v>40</v>
      </c>
      <c r="K34" s="1" t="s">
        <v>41</v>
      </c>
      <c r="L34" s="1" t="s">
        <v>21</v>
      </c>
    </row>
    <row r="35" spans="1:12" x14ac:dyDescent="0.25">
      <c r="A35" s="1" t="s">
        <v>185</v>
      </c>
      <c r="B35" s="1" t="s">
        <v>33</v>
      </c>
      <c r="C35" s="1" t="s">
        <v>34</v>
      </c>
      <c r="D35" s="1" t="s">
        <v>186</v>
      </c>
      <c r="E35" s="1" t="s">
        <v>80</v>
      </c>
      <c r="F35" s="1" t="s">
        <v>187</v>
      </c>
      <c r="G35" s="1" t="s">
        <v>38</v>
      </c>
      <c r="H35" s="1" t="s">
        <v>29</v>
      </c>
      <c r="I35" s="1" t="s">
        <v>39</v>
      </c>
      <c r="J35" s="1" t="s">
        <v>40</v>
      </c>
      <c r="K35" s="1" t="s">
        <v>41</v>
      </c>
      <c r="L35" s="1" t="s">
        <v>21</v>
      </c>
    </row>
    <row r="36" spans="1:12" x14ac:dyDescent="0.25">
      <c r="A36" s="1" t="s">
        <v>188</v>
      </c>
      <c r="B36" s="1" t="s">
        <v>90</v>
      </c>
      <c r="C36" s="1" t="s">
        <v>91</v>
      </c>
      <c r="D36" s="1" t="s">
        <v>108</v>
      </c>
      <c r="E36" s="1" t="s">
        <v>189</v>
      </c>
      <c r="F36" s="1" t="s">
        <v>93</v>
      </c>
      <c r="G36" s="1" t="s">
        <v>190</v>
      </c>
      <c r="H36" s="1" t="s">
        <v>29</v>
      </c>
      <c r="I36" s="1" t="s">
        <v>94</v>
      </c>
      <c r="J36" s="1" t="s">
        <v>30</v>
      </c>
      <c r="K36" s="1" t="s">
        <v>191</v>
      </c>
      <c r="L36" s="1" t="s">
        <v>21</v>
      </c>
    </row>
    <row r="37" spans="1:12" x14ac:dyDescent="0.25">
      <c r="A37" s="1" t="s">
        <v>192</v>
      </c>
      <c r="B37" s="1" t="s">
        <v>193</v>
      </c>
      <c r="C37" s="1" t="s">
        <v>194</v>
      </c>
      <c r="D37" s="1" t="s">
        <v>13</v>
      </c>
      <c r="E37" s="1" t="s">
        <v>87</v>
      </c>
      <c r="F37" s="1" t="s">
        <v>60</v>
      </c>
      <c r="G37" s="1" t="s">
        <v>16</v>
      </c>
      <c r="H37" s="1" t="s">
        <v>17</v>
      </c>
      <c r="I37" s="1" t="s">
        <v>54</v>
      </c>
      <c r="J37" s="1" t="s">
        <v>19</v>
      </c>
      <c r="K37" s="1" t="s">
        <v>195</v>
      </c>
      <c r="L37" s="1" t="s">
        <v>21</v>
      </c>
    </row>
    <row r="38" spans="1:12" x14ac:dyDescent="0.25">
      <c r="A38" s="1" t="s">
        <v>196</v>
      </c>
      <c r="B38" s="1" t="s">
        <v>197</v>
      </c>
      <c r="C38" s="1" t="s">
        <v>198</v>
      </c>
      <c r="D38" s="1" t="s">
        <v>13</v>
      </c>
      <c r="E38" s="1" t="s">
        <v>199</v>
      </c>
      <c r="F38" s="1" t="s">
        <v>200</v>
      </c>
      <c r="G38" s="1" t="s">
        <v>16</v>
      </c>
      <c r="H38" s="1" t="s">
        <v>29</v>
      </c>
      <c r="I38" s="1" t="s">
        <v>54</v>
      </c>
      <c r="J38" s="1" t="s">
        <v>30</v>
      </c>
      <c r="K38" s="1" t="s">
        <v>201</v>
      </c>
      <c r="L38" s="1" t="s">
        <v>21</v>
      </c>
    </row>
    <row r="39" spans="1:12" x14ac:dyDescent="0.25">
      <c r="A39" s="1" t="s">
        <v>202</v>
      </c>
      <c r="B39" s="1" t="s">
        <v>203</v>
      </c>
      <c r="C39" s="1" t="s">
        <v>204</v>
      </c>
      <c r="D39" s="1" t="s">
        <v>205</v>
      </c>
      <c r="E39" s="1" t="s">
        <v>206</v>
      </c>
      <c r="F39" s="1" t="s">
        <v>207</v>
      </c>
      <c r="G39" s="1" t="s">
        <v>16</v>
      </c>
      <c r="H39" s="1" t="s">
        <v>29</v>
      </c>
      <c r="I39" s="1" t="s">
        <v>83</v>
      </c>
      <c r="J39" s="1" t="s">
        <v>40</v>
      </c>
      <c r="K39" s="1" t="s">
        <v>208</v>
      </c>
      <c r="L39" s="1" t="s">
        <v>21</v>
      </c>
    </row>
    <row r="40" spans="1:12" x14ac:dyDescent="0.25">
      <c r="A40" s="1" t="s">
        <v>209</v>
      </c>
      <c r="B40" s="1" t="s">
        <v>78</v>
      </c>
      <c r="C40" s="1" t="s">
        <v>79</v>
      </c>
      <c r="D40" s="1" t="s">
        <v>178</v>
      </c>
      <c r="E40" s="1" t="s">
        <v>210</v>
      </c>
      <c r="F40" s="1" t="s">
        <v>211</v>
      </c>
      <c r="G40" s="1" t="s">
        <v>212</v>
      </c>
      <c r="H40" s="1" t="s">
        <v>29</v>
      </c>
      <c r="I40" s="1" t="s">
        <v>83</v>
      </c>
      <c r="J40" s="1" t="s">
        <v>40</v>
      </c>
      <c r="K40" s="1" t="s">
        <v>41</v>
      </c>
      <c r="L40" s="1" t="s">
        <v>21</v>
      </c>
    </row>
    <row r="41" spans="1:12" x14ac:dyDescent="0.25">
      <c r="A41" s="1" t="s">
        <v>213</v>
      </c>
      <c r="B41" s="1" t="s">
        <v>78</v>
      </c>
      <c r="C41" s="1" t="s">
        <v>214</v>
      </c>
      <c r="D41" s="1" t="s">
        <v>45</v>
      </c>
      <c r="E41" s="1" t="s">
        <v>215</v>
      </c>
      <c r="F41" s="1" t="s">
        <v>216</v>
      </c>
      <c r="G41" s="1" t="s">
        <v>82</v>
      </c>
      <c r="H41" s="1" t="s">
        <v>29</v>
      </c>
      <c r="I41" s="1" t="s">
        <v>83</v>
      </c>
      <c r="J41" s="1" t="s">
        <v>40</v>
      </c>
      <c r="K41" s="1" t="s">
        <v>41</v>
      </c>
      <c r="L41" s="1" t="s">
        <v>21</v>
      </c>
    </row>
    <row r="42" spans="1:12" x14ac:dyDescent="0.25">
      <c r="A42" s="1" t="s">
        <v>217</v>
      </c>
      <c r="B42" s="1" t="s">
        <v>218</v>
      </c>
      <c r="C42" s="1" t="s">
        <v>219</v>
      </c>
      <c r="D42" s="1" t="s">
        <v>51</v>
      </c>
      <c r="E42" s="1" t="s">
        <v>109</v>
      </c>
      <c r="F42" s="1" t="s">
        <v>220</v>
      </c>
      <c r="G42" s="1" t="s">
        <v>16</v>
      </c>
      <c r="H42" s="1" t="s">
        <v>17</v>
      </c>
      <c r="I42" s="1" t="s">
        <v>141</v>
      </c>
      <c r="J42" s="1" t="s">
        <v>19</v>
      </c>
      <c r="K42" s="1" t="s">
        <v>55</v>
      </c>
      <c r="L42" s="1" t="s">
        <v>21</v>
      </c>
    </row>
    <row r="43" spans="1:12" x14ac:dyDescent="0.25">
      <c r="A43" s="1" t="s">
        <v>221</v>
      </c>
      <c r="B43" s="1" t="s">
        <v>222</v>
      </c>
      <c r="C43" s="1" t="s">
        <v>223</v>
      </c>
      <c r="D43" s="1" t="s">
        <v>224</v>
      </c>
      <c r="E43" s="1" t="s">
        <v>225</v>
      </c>
      <c r="F43" s="1" t="s">
        <v>200</v>
      </c>
      <c r="G43" s="1" t="s">
        <v>174</v>
      </c>
      <c r="H43" s="1" t="s">
        <v>29</v>
      </c>
      <c r="I43" s="1" t="s">
        <v>94</v>
      </c>
      <c r="J43" s="1" t="s">
        <v>40</v>
      </c>
      <c r="K43" s="1" t="s">
        <v>41</v>
      </c>
      <c r="L43" s="1" t="s">
        <v>21</v>
      </c>
    </row>
    <row r="44" spans="1:12" x14ac:dyDescent="0.25">
      <c r="A44" s="1" t="s">
        <v>226</v>
      </c>
      <c r="B44" s="1" t="s">
        <v>33</v>
      </c>
      <c r="C44" s="1" t="s">
        <v>34</v>
      </c>
      <c r="D44" s="1" t="s">
        <v>35</v>
      </c>
      <c r="E44" s="1" t="s">
        <v>36</v>
      </c>
      <c r="F44" s="1" t="s">
        <v>37</v>
      </c>
      <c r="G44" s="1" t="s">
        <v>38</v>
      </c>
      <c r="H44" s="1" t="s">
        <v>29</v>
      </c>
      <c r="I44" s="1" t="s">
        <v>39</v>
      </c>
      <c r="J44" s="1" t="s">
        <v>40</v>
      </c>
      <c r="K44" s="1" t="s">
        <v>41</v>
      </c>
      <c r="L44" s="1" t="s">
        <v>21</v>
      </c>
    </row>
    <row r="45" spans="1:12" x14ac:dyDescent="0.25">
      <c r="A45" s="1" t="s">
        <v>227</v>
      </c>
      <c r="B45" s="1" t="s">
        <v>43</v>
      </c>
      <c r="C45" s="1" t="s">
        <v>44</v>
      </c>
      <c r="D45" s="1" t="s">
        <v>35</v>
      </c>
      <c r="E45" s="1" t="s">
        <v>45</v>
      </c>
      <c r="F45" s="1" t="s">
        <v>46</v>
      </c>
      <c r="G45" s="1" t="s">
        <v>47</v>
      </c>
      <c r="H45" s="1" t="s">
        <v>29</v>
      </c>
      <c r="I45" s="1" t="s">
        <v>39</v>
      </c>
      <c r="J45" s="1" t="s">
        <v>40</v>
      </c>
      <c r="K45" s="1" t="s">
        <v>41</v>
      </c>
      <c r="L45" s="1" t="s">
        <v>21</v>
      </c>
    </row>
    <row r="46" spans="1:12" x14ac:dyDescent="0.25">
      <c r="A46" s="1" t="s">
        <v>228</v>
      </c>
      <c r="B46" s="1" t="s">
        <v>229</v>
      </c>
      <c r="C46" s="1" t="s">
        <v>230</v>
      </c>
      <c r="D46" s="1" t="s">
        <v>231</v>
      </c>
      <c r="E46" s="1" t="s">
        <v>232</v>
      </c>
      <c r="F46" s="1" t="s">
        <v>233</v>
      </c>
      <c r="G46" s="1" t="s">
        <v>16</v>
      </c>
      <c r="H46" s="1" t="s">
        <v>29</v>
      </c>
      <c r="I46" s="1" t="s">
        <v>18</v>
      </c>
      <c r="J46" s="1" t="s">
        <v>40</v>
      </c>
      <c r="K46" s="1" t="s">
        <v>20</v>
      </c>
      <c r="L46" s="1" t="s">
        <v>21</v>
      </c>
    </row>
    <row r="47" spans="1:12" x14ac:dyDescent="0.25">
      <c r="A47" s="1" t="s">
        <v>234</v>
      </c>
      <c r="B47" s="1" t="s">
        <v>235</v>
      </c>
      <c r="C47" s="1" t="s">
        <v>236</v>
      </c>
      <c r="D47" s="1" t="s">
        <v>51</v>
      </c>
      <c r="E47" s="1" t="s">
        <v>237</v>
      </c>
      <c r="F47" s="1" t="s">
        <v>220</v>
      </c>
      <c r="G47" s="1" t="s">
        <v>238</v>
      </c>
      <c r="H47" s="1" t="s">
        <v>29</v>
      </c>
      <c r="I47" s="1" t="s">
        <v>18</v>
      </c>
      <c r="J47" s="1" t="s">
        <v>40</v>
      </c>
      <c r="K47" s="1" t="s">
        <v>239</v>
      </c>
      <c r="L47" s="1" t="s">
        <v>21</v>
      </c>
    </row>
    <row r="48" spans="1:12" x14ac:dyDescent="0.25">
      <c r="A48" s="1" t="s">
        <v>240</v>
      </c>
      <c r="B48" s="1" t="s">
        <v>241</v>
      </c>
      <c r="C48" s="1" t="s">
        <v>242</v>
      </c>
      <c r="D48" s="1" t="s">
        <v>243</v>
      </c>
      <c r="E48" s="1" t="s">
        <v>244</v>
      </c>
      <c r="F48" s="1" t="s">
        <v>233</v>
      </c>
      <c r="G48" s="1" t="s">
        <v>174</v>
      </c>
      <c r="H48" s="1" t="s">
        <v>17</v>
      </c>
      <c r="I48" s="1" t="s">
        <v>117</v>
      </c>
      <c r="J48" s="1" t="s">
        <v>40</v>
      </c>
      <c r="K48" s="1" t="s">
        <v>41</v>
      </c>
      <c r="L48" s="1" t="s">
        <v>21</v>
      </c>
    </row>
    <row r="49" spans="1:12" x14ac:dyDescent="0.25">
      <c r="A49" s="1" t="s">
        <v>245</v>
      </c>
      <c r="B49" s="1" t="s">
        <v>23</v>
      </c>
      <c r="C49" s="1" t="s">
        <v>24</v>
      </c>
      <c r="D49" s="1" t="s">
        <v>25</v>
      </c>
      <c r="E49" s="1" t="s">
        <v>246</v>
      </c>
      <c r="F49" s="1" t="s">
        <v>151</v>
      </c>
      <c r="G49" s="1" t="s">
        <v>247</v>
      </c>
      <c r="H49" s="1" t="s">
        <v>29</v>
      </c>
      <c r="I49" s="1" t="s">
        <v>18</v>
      </c>
      <c r="J49" s="1" t="s">
        <v>30</v>
      </c>
      <c r="K49" s="1" t="s">
        <v>248</v>
      </c>
      <c r="L49" s="1" t="s">
        <v>21</v>
      </c>
    </row>
    <row r="50" spans="1:12" x14ac:dyDescent="0.25">
      <c r="A50" s="1" t="s">
        <v>249</v>
      </c>
      <c r="B50" s="1" t="s">
        <v>33</v>
      </c>
      <c r="C50" s="1" t="s">
        <v>34</v>
      </c>
      <c r="D50" s="1" t="s">
        <v>35</v>
      </c>
      <c r="E50" s="1" t="s">
        <v>36</v>
      </c>
      <c r="F50" s="1" t="s">
        <v>37</v>
      </c>
      <c r="G50" s="1" t="s">
        <v>38</v>
      </c>
      <c r="H50" s="1" t="s">
        <v>29</v>
      </c>
      <c r="I50" s="1" t="s">
        <v>39</v>
      </c>
      <c r="J50" s="1" t="s">
        <v>40</v>
      </c>
      <c r="K50" s="1" t="s">
        <v>41</v>
      </c>
      <c r="L50" s="1" t="s">
        <v>21</v>
      </c>
    </row>
    <row r="51" spans="1:12" x14ac:dyDescent="0.25">
      <c r="A51" s="1" t="s">
        <v>250</v>
      </c>
      <c r="B51" s="1" t="s">
        <v>78</v>
      </c>
      <c r="C51" s="1" t="s">
        <v>79</v>
      </c>
      <c r="D51" s="1" t="s">
        <v>51</v>
      </c>
      <c r="E51" s="1" t="s">
        <v>80</v>
      </c>
      <c r="F51" s="1" t="s">
        <v>81</v>
      </c>
      <c r="G51" s="1" t="s">
        <v>82</v>
      </c>
      <c r="H51" s="1" t="s">
        <v>29</v>
      </c>
      <c r="I51" s="1" t="s">
        <v>83</v>
      </c>
      <c r="J51" s="1" t="s">
        <v>40</v>
      </c>
      <c r="K51" s="1" t="s">
        <v>41</v>
      </c>
      <c r="L51" s="1" t="s">
        <v>21</v>
      </c>
    </row>
    <row r="52" spans="1:12" x14ac:dyDescent="0.25">
      <c r="A52" s="1" t="s">
        <v>251</v>
      </c>
      <c r="B52" s="1" t="s">
        <v>252</v>
      </c>
      <c r="C52" s="1" t="s">
        <v>253</v>
      </c>
      <c r="D52" s="1" t="s">
        <v>254</v>
      </c>
      <c r="E52" s="1" t="s">
        <v>237</v>
      </c>
      <c r="F52" s="1" t="s">
        <v>93</v>
      </c>
      <c r="G52" s="1" t="s">
        <v>16</v>
      </c>
      <c r="H52" s="1" t="s">
        <v>29</v>
      </c>
      <c r="I52" s="1" t="s">
        <v>94</v>
      </c>
      <c r="J52" s="1" t="s">
        <v>30</v>
      </c>
      <c r="K52" s="1" t="s">
        <v>31</v>
      </c>
      <c r="L52" s="1" t="s">
        <v>21</v>
      </c>
    </row>
    <row r="53" spans="1:12" x14ac:dyDescent="0.25">
      <c r="A53" s="1" t="s">
        <v>255</v>
      </c>
      <c r="B53" s="1" t="s">
        <v>120</v>
      </c>
      <c r="C53" s="1" t="s">
        <v>121</v>
      </c>
      <c r="D53" s="1" t="s">
        <v>51</v>
      </c>
      <c r="E53" s="1" t="s">
        <v>256</v>
      </c>
      <c r="F53" s="1" t="s">
        <v>257</v>
      </c>
      <c r="G53" s="1" t="s">
        <v>16</v>
      </c>
      <c r="H53" s="1" t="s">
        <v>17</v>
      </c>
      <c r="I53" s="1" t="s">
        <v>54</v>
      </c>
      <c r="J53" s="1" t="s">
        <v>30</v>
      </c>
      <c r="K53" s="1" t="s">
        <v>258</v>
      </c>
      <c r="L53" s="1" t="s">
        <v>21</v>
      </c>
    </row>
    <row r="54" spans="1:12" x14ac:dyDescent="0.25">
      <c r="A54" s="1" t="s">
        <v>259</v>
      </c>
      <c r="B54" s="1" t="s">
        <v>78</v>
      </c>
      <c r="C54" s="1" t="s">
        <v>79</v>
      </c>
      <c r="D54" s="1" t="s">
        <v>96</v>
      </c>
      <c r="E54" s="1" t="s">
        <v>97</v>
      </c>
      <c r="F54" s="1" t="s">
        <v>98</v>
      </c>
      <c r="G54" s="1" t="s">
        <v>99</v>
      </c>
      <c r="H54" s="1" t="s">
        <v>29</v>
      </c>
      <c r="I54" s="1" t="s">
        <v>83</v>
      </c>
      <c r="J54" s="1" t="s">
        <v>40</v>
      </c>
      <c r="K54" s="1" t="s">
        <v>41</v>
      </c>
      <c r="L54" s="1" t="s">
        <v>21</v>
      </c>
    </row>
    <row r="55" spans="1:12" x14ac:dyDescent="0.25">
      <c r="A55" s="1" t="s">
        <v>260</v>
      </c>
      <c r="B55" s="1" t="s">
        <v>101</v>
      </c>
      <c r="C55" s="1" t="s">
        <v>102</v>
      </c>
      <c r="D55" s="1" t="s">
        <v>103</v>
      </c>
      <c r="E55" s="1" t="s">
        <v>104</v>
      </c>
      <c r="F55" s="1" t="s">
        <v>105</v>
      </c>
      <c r="G55" s="1" t="s">
        <v>47</v>
      </c>
      <c r="H55" s="1" t="s">
        <v>29</v>
      </c>
      <c r="I55" s="1" t="s">
        <v>106</v>
      </c>
      <c r="J55" s="1" t="s">
        <v>40</v>
      </c>
      <c r="K55" s="1" t="s">
        <v>41</v>
      </c>
      <c r="L55" s="1" t="s">
        <v>21</v>
      </c>
    </row>
    <row r="56" spans="1:12" x14ac:dyDescent="0.25">
      <c r="A56" s="1" t="s">
        <v>261</v>
      </c>
      <c r="B56" s="1" t="s">
        <v>11</v>
      </c>
      <c r="C56" s="1" t="s">
        <v>12</v>
      </c>
      <c r="D56" s="1" t="s">
        <v>262</v>
      </c>
      <c r="E56" s="1" t="s">
        <v>263</v>
      </c>
      <c r="F56" s="1" t="s">
        <v>264</v>
      </c>
      <c r="G56" s="1" t="s">
        <v>16</v>
      </c>
      <c r="H56" s="1" t="s">
        <v>17</v>
      </c>
      <c r="I56" s="1" t="s">
        <v>54</v>
      </c>
      <c r="J56" s="1" t="s">
        <v>168</v>
      </c>
      <c r="K56" s="1" t="s">
        <v>20</v>
      </c>
      <c r="L56" s="1" t="s">
        <v>21</v>
      </c>
    </row>
    <row r="57" spans="1:12" x14ac:dyDescent="0.25">
      <c r="A57" s="1" t="s">
        <v>265</v>
      </c>
      <c r="B57" s="1" t="s">
        <v>266</v>
      </c>
      <c r="C57" s="1" t="s">
        <v>267</v>
      </c>
      <c r="D57" s="1" t="s">
        <v>51</v>
      </c>
      <c r="E57" s="1" t="s">
        <v>268</v>
      </c>
      <c r="F57" s="1" t="s">
        <v>123</v>
      </c>
      <c r="G57" s="1" t="s">
        <v>269</v>
      </c>
      <c r="H57" s="1" t="s">
        <v>17</v>
      </c>
      <c r="I57" s="1" t="s">
        <v>54</v>
      </c>
      <c r="J57" s="1" t="s">
        <v>19</v>
      </c>
      <c r="K57" s="1" t="s">
        <v>88</v>
      </c>
      <c r="L57" s="1" t="s">
        <v>21</v>
      </c>
    </row>
    <row r="58" spans="1:12" x14ac:dyDescent="0.25">
      <c r="A58" s="1" t="s">
        <v>270</v>
      </c>
      <c r="B58" s="1" t="s">
        <v>271</v>
      </c>
      <c r="C58" s="1" t="s">
        <v>272</v>
      </c>
      <c r="D58" s="1" t="s">
        <v>25</v>
      </c>
      <c r="E58" s="1" t="s">
        <v>109</v>
      </c>
      <c r="F58" s="1" t="s">
        <v>273</v>
      </c>
      <c r="G58" s="1" t="s">
        <v>247</v>
      </c>
      <c r="H58" s="1" t="s">
        <v>29</v>
      </c>
      <c r="I58" s="1" t="s">
        <v>18</v>
      </c>
      <c r="J58" s="1" t="s">
        <v>168</v>
      </c>
      <c r="K58" s="1" t="s">
        <v>55</v>
      </c>
      <c r="L58" s="1" t="s">
        <v>21</v>
      </c>
    </row>
    <row r="59" spans="1:12" x14ac:dyDescent="0.25">
      <c r="A59" s="1" t="s">
        <v>274</v>
      </c>
      <c r="B59" s="1" t="s">
        <v>275</v>
      </c>
      <c r="C59" s="1" t="s">
        <v>276</v>
      </c>
      <c r="D59" s="1" t="s">
        <v>13</v>
      </c>
      <c r="E59" s="1" t="s">
        <v>277</v>
      </c>
      <c r="F59" s="1" t="s">
        <v>278</v>
      </c>
      <c r="G59" s="1" t="s">
        <v>16</v>
      </c>
      <c r="H59" s="1" t="s">
        <v>17</v>
      </c>
      <c r="I59" s="1" t="s">
        <v>117</v>
      </c>
      <c r="J59" s="1" t="s">
        <v>168</v>
      </c>
      <c r="K59" s="1" t="s">
        <v>279</v>
      </c>
      <c r="L59" s="1" t="s">
        <v>21</v>
      </c>
    </row>
    <row r="60" spans="1:12" x14ac:dyDescent="0.25">
      <c r="A60" s="1" t="s">
        <v>280</v>
      </c>
      <c r="B60" s="1" t="s">
        <v>43</v>
      </c>
      <c r="C60" s="1" t="s">
        <v>44</v>
      </c>
      <c r="D60" s="1" t="s">
        <v>35</v>
      </c>
      <c r="E60" s="1" t="s">
        <v>45</v>
      </c>
      <c r="F60" s="1" t="s">
        <v>46</v>
      </c>
      <c r="G60" s="1" t="s">
        <v>47</v>
      </c>
      <c r="H60" s="1" t="s">
        <v>29</v>
      </c>
      <c r="I60" s="1" t="s">
        <v>39</v>
      </c>
      <c r="J60" s="1" t="s">
        <v>40</v>
      </c>
      <c r="K60" s="1" t="s">
        <v>41</v>
      </c>
      <c r="L60" s="1" t="s">
        <v>21</v>
      </c>
    </row>
    <row r="61" spans="1:12" x14ac:dyDescent="0.25">
      <c r="A61" s="1" t="s">
        <v>281</v>
      </c>
      <c r="B61" s="1" t="s">
        <v>43</v>
      </c>
      <c r="C61" s="1" t="s">
        <v>44</v>
      </c>
      <c r="D61" s="1" t="s">
        <v>35</v>
      </c>
      <c r="E61" s="1" t="s">
        <v>45</v>
      </c>
      <c r="F61" s="1" t="s">
        <v>46</v>
      </c>
      <c r="G61" s="1" t="s">
        <v>47</v>
      </c>
      <c r="H61" s="1" t="s">
        <v>29</v>
      </c>
      <c r="I61" s="1" t="s">
        <v>39</v>
      </c>
      <c r="J61" s="1" t="s">
        <v>40</v>
      </c>
      <c r="K61" s="1" t="s">
        <v>41</v>
      </c>
      <c r="L61" s="1" t="s">
        <v>21</v>
      </c>
    </row>
    <row r="62" spans="1:12" x14ac:dyDescent="0.25">
      <c r="A62" s="1" t="s">
        <v>282</v>
      </c>
      <c r="B62" s="1" t="s">
        <v>283</v>
      </c>
      <c r="C62" s="1" t="s">
        <v>284</v>
      </c>
      <c r="D62" s="1" t="s">
        <v>135</v>
      </c>
      <c r="E62" s="1" t="s">
        <v>285</v>
      </c>
      <c r="F62" s="1" t="s">
        <v>74</v>
      </c>
      <c r="G62" s="1" t="s">
        <v>16</v>
      </c>
      <c r="H62" s="1" t="s">
        <v>17</v>
      </c>
      <c r="I62" s="1" t="s">
        <v>54</v>
      </c>
      <c r="J62" s="1" t="s">
        <v>30</v>
      </c>
      <c r="K62" s="1" t="s">
        <v>20</v>
      </c>
      <c r="L62" s="1" t="s">
        <v>21</v>
      </c>
    </row>
    <row r="63" spans="1:12" x14ac:dyDescent="0.25">
      <c r="A63" s="1" t="s">
        <v>286</v>
      </c>
      <c r="B63" s="1" t="s">
        <v>90</v>
      </c>
      <c r="C63" s="1" t="s">
        <v>91</v>
      </c>
      <c r="D63" s="1" t="s">
        <v>287</v>
      </c>
      <c r="E63" s="1" t="s">
        <v>237</v>
      </c>
      <c r="F63" s="1" t="s">
        <v>110</v>
      </c>
      <c r="G63" s="1" t="s">
        <v>16</v>
      </c>
      <c r="H63" s="1" t="s">
        <v>29</v>
      </c>
      <c r="I63" s="1" t="s">
        <v>94</v>
      </c>
      <c r="J63" s="1" t="s">
        <v>30</v>
      </c>
      <c r="K63" s="1" t="s">
        <v>288</v>
      </c>
      <c r="L63" s="1" t="s">
        <v>21</v>
      </c>
    </row>
    <row r="64" spans="1:12" x14ac:dyDescent="0.25">
      <c r="A64" s="1" t="s">
        <v>289</v>
      </c>
      <c r="B64" s="1" t="s">
        <v>78</v>
      </c>
      <c r="C64" s="1" t="s">
        <v>79</v>
      </c>
      <c r="D64" s="1" t="s">
        <v>51</v>
      </c>
      <c r="E64" s="1" t="s">
        <v>143</v>
      </c>
      <c r="F64" s="1" t="s">
        <v>144</v>
      </c>
      <c r="G64" s="1" t="s">
        <v>47</v>
      </c>
      <c r="H64" s="1" t="s">
        <v>29</v>
      </c>
      <c r="I64" s="1" t="s">
        <v>83</v>
      </c>
      <c r="J64" s="1" t="s">
        <v>40</v>
      </c>
      <c r="K64" s="1" t="s">
        <v>41</v>
      </c>
      <c r="L64" s="1" t="s">
        <v>21</v>
      </c>
    </row>
    <row r="65" spans="1:12" x14ac:dyDescent="0.25">
      <c r="A65" s="1" t="s">
        <v>290</v>
      </c>
      <c r="B65" s="1" t="s">
        <v>33</v>
      </c>
      <c r="C65" s="1" t="s">
        <v>34</v>
      </c>
      <c r="D65" s="1" t="s">
        <v>35</v>
      </c>
      <c r="E65" s="1" t="s">
        <v>146</v>
      </c>
      <c r="F65" s="1" t="s">
        <v>147</v>
      </c>
      <c r="G65" s="1" t="s">
        <v>38</v>
      </c>
      <c r="H65" s="1" t="s">
        <v>29</v>
      </c>
      <c r="I65" s="1" t="s">
        <v>39</v>
      </c>
      <c r="J65" s="1" t="s">
        <v>40</v>
      </c>
      <c r="K65" s="1" t="s">
        <v>41</v>
      </c>
      <c r="L65" s="1" t="s">
        <v>21</v>
      </c>
    </row>
    <row r="66" spans="1:12" x14ac:dyDescent="0.25">
      <c r="A66" s="1" t="s">
        <v>291</v>
      </c>
      <c r="B66" s="1" t="s">
        <v>275</v>
      </c>
      <c r="C66" s="1" t="s">
        <v>276</v>
      </c>
      <c r="D66" s="1" t="s">
        <v>25</v>
      </c>
      <c r="E66" s="1" t="s">
        <v>237</v>
      </c>
      <c r="F66" s="1" t="s">
        <v>15</v>
      </c>
      <c r="G66" s="1" t="s">
        <v>16</v>
      </c>
      <c r="H66" s="1" t="s">
        <v>17</v>
      </c>
      <c r="I66" s="1" t="s">
        <v>117</v>
      </c>
      <c r="J66" s="1" t="s">
        <v>168</v>
      </c>
      <c r="K66" s="1" t="s">
        <v>292</v>
      </c>
      <c r="L66" s="1" t="s">
        <v>21</v>
      </c>
    </row>
    <row r="67" spans="1:12" x14ac:dyDescent="0.25">
      <c r="A67" s="1" t="s">
        <v>293</v>
      </c>
      <c r="B67" s="1" t="s">
        <v>294</v>
      </c>
      <c r="C67" s="1" t="s">
        <v>295</v>
      </c>
      <c r="D67" s="1" t="s">
        <v>296</v>
      </c>
      <c r="E67" s="1" t="s">
        <v>246</v>
      </c>
      <c r="F67" s="1" t="s">
        <v>200</v>
      </c>
      <c r="G67" s="1" t="s">
        <v>61</v>
      </c>
      <c r="H67" s="1" t="s">
        <v>29</v>
      </c>
      <c r="I67" s="1" t="s">
        <v>106</v>
      </c>
      <c r="J67" s="1" t="s">
        <v>40</v>
      </c>
      <c r="K67" s="1" t="s">
        <v>297</v>
      </c>
      <c r="L67" s="1" t="s">
        <v>21</v>
      </c>
    </row>
    <row r="68" spans="1:12" x14ac:dyDescent="0.25">
      <c r="A68" s="1" t="s">
        <v>298</v>
      </c>
      <c r="B68" s="1" t="s">
        <v>120</v>
      </c>
      <c r="C68" s="1" t="s">
        <v>121</v>
      </c>
      <c r="D68" s="1" t="s">
        <v>13</v>
      </c>
      <c r="E68" s="1" t="s">
        <v>87</v>
      </c>
      <c r="F68" s="1" t="s">
        <v>60</v>
      </c>
      <c r="G68" s="1" t="s">
        <v>16</v>
      </c>
      <c r="H68" s="1" t="s">
        <v>17</v>
      </c>
      <c r="I68" s="1" t="s">
        <v>54</v>
      </c>
      <c r="J68" s="1" t="s">
        <v>30</v>
      </c>
      <c r="K68" s="1" t="s">
        <v>88</v>
      </c>
      <c r="L68" s="1" t="s">
        <v>21</v>
      </c>
    </row>
    <row r="69" spans="1:12" x14ac:dyDescent="0.25">
      <c r="A69" s="1" t="s">
        <v>299</v>
      </c>
      <c r="B69" s="1" t="s">
        <v>300</v>
      </c>
      <c r="C69" s="1" t="s">
        <v>301</v>
      </c>
      <c r="D69" s="1" t="s">
        <v>14</v>
      </c>
      <c r="E69" s="1" t="s">
        <v>237</v>
      </c>
      <c r="F69" s="1" t="s">
        <v>171</v>
      </c>
      <c r="G69" s="1" t="s">
        <v>238</v>
      </c>
      <c r="H69" s="1" t="s">
        <v>29</v>
      </c>
      <c r="I69" s="1" t="s">
        <v>18</v>
      </c>
      <c r="J69" s="1" t="s">
        <v>19</v>
      </c>
      <c r="K69" s="1" t="s">
        <v>182</v>
      </c>
      <c r="L69" s="1" t="s">
        <v>21</v>
      </c>
    </row>
    <row r="70" spans="1:12" x14ac:dyDescent="0.25">
      <c r="A70" s="1" t="s">
        <v>302</v>
      </c>
      <c r="B70" s="1" t="s">
        <v>78</v>
      </c>
      <c r="C70" s="1" t="s">
        <v>79</v>
      </c>
      <c r="D70" s="1" t="s">
        <v>35</v>
      </c>
      <c r="E70" s="1" t="s">
        <v>80</v>
      </c>
      <c r="F70" s="1" t="s">
        <v>171</v>
      </c>
      <c r="G70" s="1" t="s">
        <v>82</v>
      </c>
      <c r="H70" s="1" t="s">
        <v>29</v>
      </c>
      <c r="I70" s="1" t="s">
        <v>83</v>
      </c>
      <c r="J70" s="1" t="s">
        <v>40</v>
      </c>
      <c r="K70" s="1" t="s">
        <v>41</v>
      </c>
      <c r="L70" s="1" t="s">
        <v>21</v>
      </c>
    </row>
    <row r="71" spans="1:12" x14ac:dyDescent="0.25">
      <c r="A71" s="1" t="s">
        <v>303</v>
      </c>
      <c r="B71" s="1" t="s">
        <v>78</v>
      </c>
      <c r="C71" s="1" t="s">
        <v>79</v>
      </c>
      <c r="D71" s="1" t="s">
        <v>51</v>
      </c>
      <c r="E71" s="1" t="s">
        <v>173</v>
      </c>
      <c r="F71" s="1" t="s">
        <v>37</v>
      </c>
      <c r="G71" s="1" t="s">
        <v>174</v>
      </c>
      <c r="H71" s="1" t="s">
        <v>29</v>
      </c>
      <c r="I71" s="1" t="s">
        <v>83</v>
      </c>
      <c r="J71" s="1" t="s">
        <v>40</v>
      </c>
      <c r="K71" s="1" t="s">
        <v>41</v>
      </c>
      <c r="L71" s="1" t="s">
        <v>21</v>
      </c>
    </row>
    <row r="72" spans="1:12" x14ac:dyDescent="0.25">
      <c r="A72" s="1" t="s">
        <v>304</v>
      </c>
      <c r="B72" s="1" t="s">
        <v>305</v>
      </c>
      <c r="C72" s="1" t="s">
        <v>306</v>
      </c>
      <c r="D72" s="1" t="s">
        <v>51</v>
      </c>
      <c r="E72" s="1" t="s">
        <v>199</v>
      </c>
      <c r="F72" s="1" t="s">
        <v>307</v>
      </c>
      <c r="G72" s="1" t="s">
        <v>16</v>
      </c>
      <c r="H72" s="1" t="s">
        <v>29</v>
      </c>
      <c r="I72" s="1" t="s">
        <v>117</v>
      </c>
      <c r="J72" s="1" t="s">
        <v>168</v>
      </c>
      <c r="K72" s="1" t="s">
        <v>308</v>
      </c>
      <c r="L72" s="1" t="s">
        <v>21</v>
      </c>
    </row>
    <row r="73" spans="1:12" x14ac:dyDescent="0.25">
      <c r="A73" s="1" t="s">
        <v>309</v>
      </c>
      <c r="B73" s="1" t="s">
        <v>310</v>
      </c>
      <c r="C73" s="1" t="s">
        <v>311</v>
      </c>
      <c r="D73" s="1" t="s">
        <v>13</v>
      </c>
      <c r="E73" s="1" t="s">
        <v>312</v>
      </c>
      <c r="F73" s="1" t="s">
        <v>313</v>
      </c>
      <c r="G73" s="1" t="s">
        <v>16</v>
      </c>
      <c r="H73" s="1" t="s">
        <v>17</v>
      </c>
      <c r="I73" s="1" t="s">
        <v>117</v>
      </c>
      <c r="J73" s="1" t="s">
        <v>168</v>
      </c>
      <c r="K73" s="1" t="s">
        <v>314</v>
      </c>
      <c r="L73" s="1" t="s">
        <v>21</v>
      </c>
    </row>
    <row r="74" spans="1:12" x14ac:dyDescent="0.25">
      <c r="A74" s="1" t="s">
        <v>315</v>
      </c>
      <c r="B74" s="1" t="s">
        <v>78</v>
      </c>
      <c r="C74" s="1" t="s">
        <v>79</v>
      </c>
      <c r="D74" s="1" t="s">
        <v>51</v>
      </c>
      <c r="E74" s="1" t="s">
        <v>80</v>
      </c>
      <c r="F74" s="1" t="s">
        <v>81</v>
      </c>
      <c r="G74" s="1" t="s">
        <v>82</v>
      </c>
      <c r="H74" s="1" t="s">
        <v>29</v>
      </c>
      <c r="I74" s="1" t="s">
        <v>83</v>
      </c>
      <c r="J74" s="1" t="s">
        <v>40</v>
      </c>
      <c r="K74" s="1" t="s">
        <v>41</v>
      </c>
      <c r="L74" s="1" t="s">
        <v>21</v>
      </c>
    </row>
    <row r="75" spans="1:12" x14ac:dyDescent="0.25">
      <c r="A75" s="1" t="s">
        <v>316</v>
      </c>
      <c r="B75" s="1" t="s">
        <v>33</v>
      </c>
      <c r="C75" s="1" t="s">
        <v>34</v>
      </c>
      <c r="D75" s="1" t="s">
        <v>186</v>
      </c>
      <c r="E75" s="1" t="s">
        <v>80</v>
      </c>
      <c r="F75" s="1" t="s">
        <v>187</v>
      </c>
      <c r="G75" s="1" t="s">
        <v>38</v>
      </c>
      <c r="H75" s="1" t="s">
        <v>29</v>
      </c>
      <c r="I75" s="1" t="s">
        <v>39</v>
      </c>
      <c r="J75" s="1" t="s">
        <v>40</v>
      </c>
      <c r="K75" s="1" t="s">
        <v>41</v>
      </c>
      <c r="L75" s="1" t="s">
        <v>21</v>
      </c>
    </row>
    <row r="76" spans="1:12" x14ac:dyDescent="0.25">
      <c r="A76" s="1" t="s">
        <v>317</v>
      </c>
      <c r="B76" s="1" t="s">
        <v>90</v>
      </c>
      <c r="C76" s="1" t="s">
        <v>91</v>
      </c>
      <c r="D76" s="1" t="s">
        <v>318</v>
      </c>
      <c r="E76" s="1" t="s">
        <v>59</v>
      </c>
      <c r="F76" s="1" t="s">
        <v>110</v>
      </c>
      <c r="G76" s="1" t="s">
        <v>16</v>
      </c>
      <c r="H76" s="1" t="s">
        <v>29</v>
      </c>
      <c r="I76" s="1" t="s">
        <v>94</v>
      </c>
      <c r="J76" s="1" t="s">
        <v>30</v>
      </c>
      <c r="K76" s="1" t="s">
        <v>31</v>
      </c>
      <c r="L76" s="1" t="s">
        <v>21</v>
      </c>
    </row>
    <row r="77" spans="1:12" x14ac:dyDescent="0.25">
      <c r="A77" s="1" t="s">
        <v>319</v>
      </c>
      <c r="B77" s="1" t="s">
        <v>320</v>
      </c>
      <c r="C77" s="1" t="s">
        <v>321</v>
      </c>
      <c r="D77" s="1" t="s">
        <v>13</v>
      </c>
      <c r="E77" s="1" t="s">
        <v>322</v>
      </c>
      <c r="F77" s="1" t="s">
        <v>74</v>
      </c>
      <c r="G77" s="1" t="s">
        <v>16</v>
      </c>
      <c r="H77" s="1" t="s">
        <v>29</v>
      </c>
      <c r="I77" s="1" t="s">
        <v>106</v>
      </c>
      <c r="J77" s="1" t="s">
        <v>30</v>
      </c>
      <c r="K77" s="1" t="s">
        <v>169</v>
      </c>
      <c r="L77" s="1" t="s">
        <v>21</v>
      </c>
    </row>
    <row r="78" spans="1:12" x14ac:dyDescent="0.25">
      <c r="A78" s="1" t="s">
        <v>323</v>
      </c>
      <c r="B78" s="1" t="s">
        <v>324</v>
      </c>
      <c r="C78" s="1" t="s">
        <v>325</v>
      </c>
      <c r="D78" s="1" t="s">
        <v>326</v>
      </c>
      <c r="E78" s="1" t="s">
        <v>237</v>
      </c>
      <c r="F78" s="1" t="s">
        <v>15</v>
      </c>
      <c r="G78" s="1" t="s">
        <v>327</v>
      </c>
      <c r="H78" s="1" t="s">
        <v>17</v>
      </c>
      <c r="I78" s="1" t="s">
        <v>117</v>
      </c>
      <c r="J78" s="1" t="s">
        <v>30</v>
      </c>
      <c r="K78" s="1" t="s">
        <v>328</v>
      </c>
      <c r="L78" s="1" t="s">
        <v>21</v>
      </c>
    </row>
    <row r="79" spans="1:12" x14ac:dyDescent="0.25">
      <c r="A79" s="1" t="s">
        <v>329</v>
      </c>
      <c r="B79" s="1" t="s">
        <v>310</v>
      </c>
      <c r="C79" s="1" t="s">
        <v>330</v>
      </c>
      <c r="D79" s="1" t="s">
        <v>25</v>
      </c>
      <c r="E79" s="1" t="s">
        <v>331</v>
      </c>
      <c r="F79" s="1" t="s">
        <v>171</v>
      </c>
      <c r="G79" s="1" t="s">
        <v>16</v>
      </c>
      <c r="H79" s="1" t="s">
        <v>17</v>
      </c>
      <c r="I79" s="1" t="s">
        <v>106</v>
      </c>
      <c r="J79" s="1" t="s">
        <v>168</v>
      </c>
      <c r="K79" s="1" t="s">
        <v>314</v>
      </c>
      <c r="L79" s="1" t="s">
        <v>21</v>
      </c>
    </row>
    <row r="80" spans="1:12" x14ac:dyDescent="0.25">
      <c r="A80" s="1" t="s">
        <v>332</v>
      </c>
      <c r="B80" s="1" t="s">
        <v>78</v>
      </c>
      <c r="C80" s="1" t="s">
        <v>79</v>
      </c>
      <c r="D80" s="1" t="s">
        <v>178</v>
      </c>
      <c r="E80" s="1" t="s">
        <v>210</v>
      </c>
      <c r="F80" s="1" t="s">
        <v>211</v>
      </c>
      <c r="G80" s="1" t="s">
        <v>212</v>
      </c>
      <c r="H80" s="1" t="s">
        <v>29</v>
      </c>
      <c r="I80" s="1" t="s">
        <v>83</v>
      </c>
      <c r="J80" s="1" t="s">
        <v>40</v>
      </c>
      <c r="K80" s="1" t="s">
        <v>41</v>
      </c>
      <c r="L80" s="1" t="s">
        <v>21</v>
      </c>
    </row>
    <row r="81" spans="1:12" x14ac:dyDescent="0.25">
      <c r="A81" s="1" t="s">
        <v>333</v>
      </c>
      <c r="B81" s="1" t="s">
        <v>78</v>
      </c>
      <c r="C81" s="1" t="s">
        <v>214</v>
      </c>
      <c r="D81" s="1" t="s">
        <v>45</v>
      </c>
      <c r="E81" s="1" t="s">
        <v>215</v>
      </c>
      <c r="F81" s="1" t="s">
        <v>216</v>
      </c>
      <c r="G81" s="1" t="s">
        <v>82</v>
      </c>
      <c r="H81" s="1" t="s">
        <v>29</v>
      </c>
      <c r="I81" s="1" t="s">
        <v>83</v>
      </c>
      <c r="J81" s="1" t="s">
        <v>40</v>
      </c>
      <c r="K81" s="1" t="s">
        <v>41</v>
      </c>
      <c r="L81" s="1" t="s">
        <v>21</v>
      </c>
    </row>
    <row r="82" spans="1:12" x14ac:dyDescent="0.25">
      <c r="A82" s="1" t="s">
        <v>334</v>
      </c>
      <c r="B82" s="1" t="s">
        <v>335</v>
      </c>
      <c r="C82" s="1" t="s">
        <v>336</v>
      </c>
      <c r="D82" s="1" t="s">
        <v>13</v>
      </c>
      <c r="E82" s="1" t="s">
        <v>87</v>
      </c>
      <c r="F82" s="1" t="s">
        <v>60</v>
      </c>
      <c r="G82" s="1" t="s">
        <v>337</v>
      </c>
      <c r="H82" s="1" t="s">
        <v>16</v>
      </c>
      <c r="I82" s="1" t="s">
        <v>141</v>
      </c>
      <c r="J82" s="1" t="s">
        <v>19</v>
      </c>
      <c r="K82" s="1" t="s">
        <v>338</v>
      </c>
      <c r="L82" s="1" t="s">
        <v>21</v>
      </c>
    </row>
    <row r="83" spans="1:12" x14ac:dyDescent="0.25">
      <c r="A83" s="1" t="s">
        <v>339</v>
      </c>
      <c r="B83" s="1" t="s">
        <v>340</v>
      </c>
      <c r="C83" s="1" t="s">
        <v>341</v>
      </c>
      <c r="D83" s="1" t="s">
        <v>342</v>
      </c>
      <c r="E83" s="1" t="s">
        <v>343</v>
      </c>
      <c r="F83" s="1" t="s">
        <v>68</v>
      </c>
      <c r="G83" s="1" t="s">
        <v>344</v>
      </c>
      <c r="H83" s="1" t="s">
        <v>17</v>
      </c>
      <c r="I83" s="1" t="s">
        <v>141</v>
      </c>
      <c r="J83" s="1" t="s">
        <v>19</v>
      </c>
      <c r="K83" s="1" t="s">
        <v>345</v>
      </c>
      <c r="L83" s="1" t="s">
        <v>21</v>
      </c>
    </row>
    <row r="84" spans="1:12" x14ac:dyDescent="0.25">
      <c r="A84" s="1" t="s">
        <v>346</v>
      </c>
      <c r="B84" s="1" t="s">
        <v>33</v>
      </c>
      <c r="C84" s="1" t="s">
        <v>34</v>
      </c>
      <c r="D84" s="1" t="s">
        <v>35</v>
      </c>
      <c r="E84" s="1" t="s">
        <v>36</v>
      </c>
      <c r="F84" s="1" t="s">
        <v>37</v>
      </c>
      <c r="G84" s="1" t="s">
        <v>38</v>
      </c>
      <c r="H84" s="1" t="s">
        <v>29</v>
      </c>
      <c r="I84" s="1" t="s">
        <v>39</v>
      </c>
      <c r="J84" s="1" t="s">
        <v>40</v>
      </c>
      <c r="K84" s="1" t="s">
        <v>41</v>
      </c>
      <c r="L84" s="1" t="s">
        <v>21</v>
      </c>
    </row>
    <row r="85" spans="1:12" x14ac:dyDescent="0.25">
      <c r="A85" s="1" t="s">
        <v>347</v>
      </c>
      <c r="B85" s="1" t="s">
        <v>43</v>
      </c>
      <c r="C85" s="1" t="s">
        <v>44</v>
      </c>
      <c r="D85" s="1" t="s">
        <v>35</v>
      </c>
      <c r="E85" s="1" t="s">
        <v>45</v>
      </c>
      <c r="F85" s="1" t="s">
        <v>46</v>
      </c>
      <c r="G85" s="1" t="s">
        <v>47</v>
      </c>
      <c r="H85" s="1" t="s">
        <v>29</v>
      </c>
      <c r="I85" s="1" t="s">
        <v>39</v>
      </c>
      <c r="J85" s="1" t="s">
        <v>40</v>
      </c>
      <c r="K85" s="1" t="s">
        <v>41</v>
      </c>
      <c r="L85" s="1" t="s">
        <v>21</v>
      </c>
    </row>
    <row r="86" spans="1:12" x14ac:dyDescent="0.25">
      <c r="A86" s="1" t="s">
        <v>348</v>
      </c>
      <c r="B86" s="1" t="s">
        <v>349</v>
      </c>
      <c r="C86" s="1" t="s">
        <v>350</v>
      </c>
      <c r="D86" s="1" t="s">
        <v>351</v>
      </c>
      <c r="E86" s="1" t="s">
        <v>352</v>
      </c>
      <c r="F86" s="1" t="s">
        <v>353</v>
      </c>
      <c r="G86" s="1" t="s">
        <v>212</v>
      </c>
      <c r="H86" s="1" t="s">
        <v>29</v>
      </c>
      <c r="I86" s="1" t="s">
        <v>354</v>
      </c>
      <c r="J86" s="1" t="s">
        <v>30</v>
      </c>
      <c r="K86" s="1" t="s">
        <v>55</v>
      </c>
      <c r="L86" s="1" t="s">
        <v>21</v>
      </c>
    </row>
    <row r="87" spans="1:12" x14ac:dyDescent="0.25">
      <c r="A87" s="1" t="s">
        <v>355</v>
      </c>
      <c r="B87" s="1" t="s">
        <v>356</v>
      </c>
      <c r="C87" s="1" t="s">
        <v>357</v>
      </c>
      <c r="D87" s="1" t="s">
        <v>358</v>
      </c>
      <c r="E87" s="1" t="s">
        <v>237</v>
      </c>
      <c r="F87" s="1" t="s">
        <v>359</v>
      </c>
      <c r="G87" s="1" t="s">
        <v>16</v>
      </c>
      <c r="H87" s="1" t="s">
        <v>17</v>
      </c>
      <c r="I87" s="1" t="s">
        <v>360</v>
      </c>
      <c r="J87" s="1" t="s">
        <v>19</v>
      </c>
      <c r="K87" s="1" t="s">
        <v>292</v>
      </c>
      <c r="L87" s="1" t="s">
        <v>21</v>
      </c>
    </row>
    <row r="88" spans="1:12" x14ac:dyDescent="0.25">
      <c r="A88" s="1" t="s">
        <v>361</v>
      </c>
      <c r="B88" s="1" t="s">
        <v>362</v>
      </c>
      <c r="C88" s="1" t="s">
        <v>363</v>
      </c>
      <c r="D88" s="1" t="s">
        <v>157</v>
      </c>
      <c r="E88" s="1" t="s">
        <v>237</v>
      </c>
      <c r="F88" s="1" t="s">
        <v>364</v>
      </c>
      <c r="G88" s="1" t="s">
        <v>365</v>
      </c>
      <c r="H88" s="1" t="s">
        <v>29</v>
      </c>
      <c r="I88" s="1" t="s">
        <v>354</v>
      </c>
      <c r="J88" s="1" t="s">
        <v>30</v>
      </c>
      <c r="K88" s="1" t="s">
        <v>366</v>
      </c>
      <c r="L88" s="1" t="s">
        <v>21</v>
      </c>
    </row>
    <row r="89" spans="1:12" x14ac:dyDescent="0.25">
      <c r="A89" s="1" t="s">
        <v>367</v>
      </c>
      <c r="B89" s="1" t="s">
        <v>368</v>
      </c>
      <c r="C89" s="1" t="s">
        <v>369</v>
      </c>
      <c r="D89" s="1" t="s">
        <v>13</v>
      </c>
      <c r="E89" s="1" t="s">
        <v>370</v>
      </c>
      <c r="F89" s="1" t="s">
        <v>371</v>
      </c>
      <c r="G89" s="1" t="s">
        <v>372</v>
      </c>
      <c r="H89" s="1" t="s">
        <v>29</v>
      </c>
      <c r="I89" s="1" t="s">
        <v>141</v>
      </c>
      <c r="J89" s="1" t="s">
        <v>19</v>
      </c>
      <c r="K89" s="1" t="s">
        <v>297</v>
      </c>
      <c r="L89" s="1" t="s">
        <v>21</v>
      </c>
    </row>
    <row r="90" spans="1:12" x14ac:dyDescent="0.25">
      <c r="A90" s="1" t="s">
        <v>373</v>
      </c>
      <c r="B90" s="1" t="s">
        <v>33</v>
      </c>
      <c r="C90" s="1" t="s">
        <v>34</v>
      </c>
      <c r="D90" s="1" t="s">
        <v>35</v>
      </c>
      <c r="E90" s="1" t="s">
        <v>36</v>
      </c>
      <c r="F90" s="1" t="s">
        <v>37</v>
      </c>
      <c r="G90" s="1" t="s">
        <v>38</v>
      </c>
      <c r="H90" s="1" t="s">
        <v>29</v>
      </c>
      <c r="I90" s="1" t="s">
        <v>39</v>
      </c>
      <c r="J90" s="1" t="s">
        <v>40</v>
      </c>
      <c r="K90" s="1" t="s">
        <v>41</v>
      </c>
      <c r="L90" s="1" t="s">
        <v>21</v>
      </c>
    </row>
    <row r="91" spans="1:12" x14ac:dyDescent="0.25">
      <c r="A91" s="1" t="s">
        <v>374</v>
      </c>
      <c r="B91" s="1" t="s">
        <v>78</v>
      </c>
      <c r="C91" s="1" t="s">
        <v>79</v>
      </c>
      <c r="D91" s="1" t="s">
        <v>51</v>
      </c>
      <c r="E91" s="1" t="s">
        <v>80</v>
      </c>
      <c r="F91" s="1" t="s">
        <v>81</v>
      </c>
      <c r="G91" s="1" t="s">
        <v>82</v>
      </c>
      <c r="H91" s="1" t="s">
        <v>29</v>
      </c>
      <c r="I91" s="1" t="s">
        <v>83</v>
      </c>
      <c r="J91" s="1" t="s">
        <v>40</v>
      </c>
      <c r="K91" s="1" t="s">
        <v>41</v>
      </c>
      <c r="L91" s="1" t="s">
        <v>21</v>
      </c>
    </row>
    <row r="92" spans="1:12" x14ac:dyDescent="0.25">
      <c r="A92" s="1" t="s">
        <v>375</v>
      </c>
      <c r="B92" s="1" t="s">
        <v>376</v>
      </c>
      <c r="C92" s="1" t="s">
        <v>377</v>
      </c>
      <c r="D92" s="1" t="s">
        <v>157</v>
      </c>
      <c r="E92" s="1" t="s">
        <v>87</v>
      </c>
      <c r="F92" s="1" t="s">
        <v>159</v>
      </c>
      <c r="G92" s="1" t="s">
        <v>99</v>
      </c>
      <c r="H92" s="1" t="s">
        <v>29</v>
      </c>
      <c r="I92" s="1" t="s">
        <v>141</v>
      </c>
      <c r="J92" s="1" t="s">
        <v>19</v>
      </c>
      <c r="K92" s="1" t="s">
        <v>55</v>
      </c>
      <c r="L92" s="1" t="s">
        <v>21</v>
      </c>
    </row>
    <row r="93" spans="1:12" x14ac:dyDescent="0.25">
      <c r="A93" s="1" t="s">
        <v>378</v>
      </c>
      <c r="B93" s="1" t="s">
        <v>379</v>
      </c>
      <c r="C93" s="1" t="s">
        <v>380</v>
      </c>
      <c r="D93" s="1" t="s">
        <v>25</v>
      </c>
      <c r="E93" s="1" t="s">
        <v>381</v>
      </c>
      <c r="F93" s="1" t="s">
        <v>382</v>
      </c>
      <c r="G93" s="1" t="s">
        <v>160</v>
      </c>
      <c r="H93" s="1" t="s">
        <v>29</v>
      </c>
      <c r="I93" s="1" t="s">
        <v>141</v>
      </c>
      <c r="J93" s="1" t="s">
        <v>19</v>
      </c>
      <c r="K93" s="1" t="s">
        <v>383</v>
      </c>
      <c r="L93" s="1" t="s">
        <v>21</v>
      </c>
    </row>
    <row r="94" spans="1:12" x14ac:dyDescent="0.25">
      <c r="A94" s="1" t="s">
        <v>384</v>
      </c>
      <c r="B94" s="1" t="s">
        <v>78</v>
      </c>
      <c r="C94" s="1" t="s">
        <v>79</v>
      </c>
      <c r="D94" s="1" t="s">
        <v>96</v>
      </c>
      <c r="E94" s="1" t="s">
        <v>97</v>
      </c>
      <c r="F94" s="1" t="s">
        <v>98</v>
      </c>
      <c r="G94" s="1" t="s">
        <v>99</v>
      </c>
      <c r="H94" s="1" t="s">
        <v>29</v>
      </c>
      <c r="I94" s="1" t="s">
        <v>83</v>
      </c>
      <c r="J94" s="1" t="s">
        <v>40</v>
      </c>
      <c r="K94" s="1" t="s">
        <v>41</v>
      </c>
      <c r="L94" s="1" t="s">
        <v>21</v>
      </c>
    </row>
    <row r="95" spans="1:12" x14ac:dyDescent="0.25">
      <c r="A95" s="1" t="s">
        <v>385</v>
      </c>
      <c r="B95" s="1" t="s">
        <v>101</v>
      </c>
      <c r="C95" s="1" t="s">
        <v>102</v>
      </c>
      <c r="D95" s="1" t="s">
        <v>103</v>
      </c>
      <c r="E95" s="1" t="s">
        <v>104</v>
      </c>
      <c r="F95" s="1" t="s">
        <v>105</v>
      </c>
      <c r="G95" s="1" t="s">
        <v>47</v>
      </c>
      <c r="H95" s="1" t="s">
        <v>29</v>
      </c>
      <c r="I95" s="1" t="s">
        <v>106</v>
      </c>
      <c r="J95" s="1" t="s">
        <v>40</v>
      </c>
      <c r="K95" s="1" t="s">
        <v>41</v>
      </c>
      <c r="L95" s="1" t="s">
        <v>21</v>
      </c>
    </row>
    <row r="96" spans="1:12" x14ac:dyDescent="0.25">
      <c r="A96" s="1" t="s">
        <v>386</v>
      </c>
      <c r="B96" s="1" t="s">
        <v>387</v>
      </c>
      <c r="C96" s="1" t="s">
        <v>388</v>
      </c>
      <c r="D96" s="1" t="s">
        <v>389</v>
      </c>
      <c r="E96" s="1" t="s">
        <v>390</v>
      </c>
      <c r="F96" s="1" t="s">
        <v>391</v>
      </c>
      <c r="G96" s="1" t="s">
        <v>16</v>
      </c>
      <c r="H96" s="1" t="s">
        <v>29</v>
      </c>
      <c r="I96" s="1" t="s">
        <v>54</v>
      </c>
      <c r="J96" s="1" t="s">
        <v>19</v>
      </c>
      <c r="K96" s="1" t="s">
        <v>392</v>
      </c>
      <c r="L96" s="1" t="s">
        <v>21</v>
      </c>
    </row>
    <row r="97" spans="1:12" x14ac:dyDescent="0.25">
      <c r="A97" s="1" t="s">
        <v>393</v>
      </c>
      <c r="B97" s="1" t="s">
        <v>394</v>
      </c>
      <c r="C97" s="1" t="s">
        <v>395</v>
      </c>
      <c r="D97" s="1" t="s">
        <v>205</v>
      </c>
      <c r="E97" s="1" t="s">
        <v>396</v>
      </c>
      <c r="F97" s="1" t="s">
        <v>15</v>
      </c>
      <c r="G97" s="1" t="s">
        <v>99</v>
      </c>
      <c r="H97" s="1" t="s">
        <v>29</v>
      </c>
      <c r="I97" s="1" t="s">
        <v>354</v>
      </c>
      <c r="J97" s="1" t="s">
        <v>19</v>
      </c>
      <c r="K97" s="1" t="s">
        <v>88</v>
      </c>
      <c r="L97" s="1" t="s">
        <v>21</v>
      </c>
    </row>
    <row r="98" spans="1:12" x14ac:dyDescent="0.25">
      <c r="A98" s="1" t="s">
        <v>397</v>
      </c>
      <c r="B98" s="1" t="s">
        <v>398</v>
      </c>
      <c r="C98" s="1" t="s">
        <v>399</v>
      </c>
      <c r="D98" s="1" t="s">
        <v>14</v>
      </c>
      <c r="E98" s="1" t="s">
        <v>400</v>
      </c>
      <c r="F98" s="1" t="s">
        <v>401</v>
      </c>
      <c r="G98" s="1" t="s">
        <v>99</v>
      </c>
      <c r="H98" s="1" t="s">
        <v>17</v>
      </c>
      <c r="I98" s="1" t="s">
        <v>141</v>
      </c>
      <c r="J98" s="1" t="s">
        <v>19</v>
      </c>
      <c r="K98" s="1" t="s">
        <v>88</v>
      </c>
      <c r="L98" s="1" t="s">
        <v>21</v>
      </c>
    </row>
    <row r="99" spans="1:12" x14ac:dyDescent="0.25">
      <c r="A99" s="1" t="s">
        <v>402</v>
      </c>
      <c r="B99" s="1" t="s">
        <v>403</v>
      </c>
      <c r="C99" s="1" t="s">
        <v>404</v>
      </c>
      <c r="D99" s="1" t="s">
        <v>51</v>
      </c>
      <c r="E99" s="1" t="s">
        <v>189</v>
      </c>
      <c r="F99" s="1" t="s">
        <v>405</v>
      </c>
      <c r="G99" s="1" t="s">
        <v>129</v>
      </c>
      <c r="H99" s="1" t="s">
        <v>29</v>
      </c>
      <c r="I99" s="1" t="s">
        <v>141</v>
      </c>
      <c r="J99" s="1" t="s">
        <v>30</v>
      </c>
      <c r="K99" s="1" t="s">
        <v>406</v>
      </c>
      <c r="L99" s="1" t="s">
        <v>21</v>
      </c>
    </row>
    <row r="100" spans="1:12" x14ac:dyDescent="0.25">
      <c r="A100" s="1" t="s">
        <v>407</v>
      </c>
      <c r="B100" s="1" t="s">
        <v>43</v>
      </c>
      <c r="C100" s="1" t="s">
        <v>44</v>
      </c>
      <c r="D100" s="1" t="s">
        <v>35</v>
      </c>
      <c r="E100" s="1" t="s">
        <v>45</v>
      </c>
      <c r="F100" s="1" t="s">
        <v>46</v>
      </c>
      <c r="G100" s="1" t="s">
        <v>47</v>
      </c>
      <c r="H100" s="1" t="s">
        <v>29</v>
      </c>
      <c r="I100" s="1" t="s">
        <v>39</v>
      </c>
      <c r="J100" s="1" t="s">
        <v>40</v>
      </c>
      <c r="K100" s="1" t="s">
        <v>41</v>
      </c>
      <c r="L100" s="1" t="s">
        <v>21</v>
      </c>
    </row>
    <row r="101" spans="1:12" x14ac:dyDescent="0.25">
      <c r="A101" s="1" t="s">
        <v>408</v>
      </c>
      <c r="B101" s="1" t="s">
        <v>43</v>
      </c>
      <c r="C101" s="1" t="s">
        <v>44</v>
      </c>
      <c r="D101" s="1" t="s">
        <v>35</v>
      </c>
      <c r="E101" s="1" t="s">
        <v>45</v>
      </c>
      <c r="F101" s="1" t="s">
        <v>46</v>
      </c>
      <c r="G101" s="1" t="s">
        <v>47</v>
      </c>
      <c r="H101" s="1" t="s">
        <v>29</v>
      </c>
      <c r="I101" s="1" t="s">
        <v>39</v>
      </c>
      <c r="J101" s="1" t="s">
        <v>40</v>
      </c>
      <c r="K101" s="1" t="s">
        <v>41</v>
      </c>
      <c r="L101" s="1" t="s">
        <v>21</v>
      </c>
    </row>
    <row r="102" spans="1:12" x14ac:dyDescent="0.25">
      <c r="A102" s="1" t="s">
        <v>409</v>
      </c>
      <c r="B102" s="1" t="s">
        <v>410</v>
      </c>
      <c r="C102" s="1" t="s">
        <v>411</v>
      </c>
      <c r="D102" s="1" t="s">
        <v>13</v>
      </c>
      <c r="E102" s="1" t="s">
        <v>109</v>
      </c>
      <c r="F102" s="1" t="s">
        <v>412</v>
      </c>
      <c r="G102" s="1" t="s">
        <v>413</v>
      </c>
      <c r="H102" s="1" t="s">
        <v>17</v>
      </c>
      <c r="I102" s="1" t="s">
        <v>141</v>
      </c>
      <c r="J102" s="1" t="s">
        <v>19</v>
      </c>
      <c r="K102" s="1" t="s">
        <v>55</v>
      </c>
      <c r="L102" s="1" t="s">
        <v>21</v>
      </c>
    </row>
    <row r="103" spans="1:12" x14ac:dyDescent="0.25">
      <c r="A103" s="1" t="s">
        <v>414</v>
      </c>
      <c r="B103" s="1" t="s">
        <v>415</v>
      </c>
      <c r="C103" s="1" t="s">
        <v>416</v>
      </c>
      <c r="D103" s="1" t="s">
        <v>417</v>
      </c>
      <c r="E103" s="1" t="s">
        <v>418</v>
      </c>
      <c r="F103" s="1" t="s">
        <v>15</v>
      </c>
      <c r="G103" s="1" t="s">
        <v>99</v>
      </c>
      <c r="H103" s="1" t="s">
        <v>29</v>
      </c>
      <c r="I103" s="1" t="s">
        <v>354</v>
      </c>
      <c r="J103" s="1" t="s">
        <v>40</v>
      </c>
      <c r="K103" s="1" t="s">
        <v>248</v>
      </c>
      <c r="L103" s="1" t="s">
        <v>21</v>
      </c>
    </row>
    <row r="104" spans="1:12" x14ac:dyDescent="0.25">
      <c r="A104" s="1" t="s">
        <v>419</v>
      </c>
      <c r="B104" s="1" t="s">
        <v>78</v>
      </c>
      <c r="C104" s="1" t="s">
        <v>79</v>
      </c>
      <c r="D104" s="1" t="s">
        <v>51</v>
      </c>
      <c r="E104" s="1" t="s">
        <v>143</v>
      </c>
      <c r="F104" s="1" t="s">
        <v>144</v>
      </c>
      <c r="G104" s="1" t="s">
        <v>47</v>
      </c>
      <c r="H104" s="1" t="s">
        <v>29</v>
      </c>
      <c r="I104" s="1" t="s">
        <v>83</v>
      </c>
      <c r="J104" s="1" t="s">
        <v>40</v>
      </c>
      <c r="K104" s="1" t="s">
        <v>41</v>
      </c>
      <c r="L104" s="1" t="s">
        <v>21</v>
      </c>
    </row>
    <row r="105" spans="1:12" x14ac:dyDescent="0.25">
      <c r="A105" s="1" t="s">
        <v>420</v>
      </c>
      <c r="B105" s="1" t="s">
        <v>33</v>
      </c>
      <c r="C105" s="1" t="s">
        <v>34</v>
      </c>
      <c r="D105" s="1" t="s">
        <v>35</v>
      </c>
      <c r="E105" s="1" t="s">
        <v>146</v>
      </c>
      <c r="F105" s="1" t="s">
        <v>147</v>
      </c>
      <c r="G105" s="1" t="s">
        <v>38</v>
      </c>
      <c r="H105" s="1" t="s">
        <v>29</v>
      </c>
      <c r="I105" s="1" t="s">
        <v>39</v>
      </c>
      <c r="J105" s="1" t="s">
        <v>40</v>
      </c>
      <c r="K105" s="1" t="s">
        <v>41</v>
      </c>
      <c r="L105" s="1" t="s">
        <v>21</v>
      </c>
    </row>
    <row r="106" spans="1:12" x14ac:dyDescent="0.25">
      <c r="A106" s="1" t="s">
        <v>421</v>
      </c>
      <c r="B106" s="1" t="s">
        <v>422</v>
      </c>
      <c r="C106" s="1" t="s">
        <v>423</v>
      </c>
      <c r="D106" s="1" t="s">
        <v>67</v>
      </c>
      <c r="E106" s="1" t="s">
        <v>424</v>
      </c>
      <c r="F106" s="1" t="s">
        <v>425</v>
      </c>
      <c r="G106" s="1" t="s">
        <v>160</v>
      </c>
      <c r="H106" s="1" t="s">
        <v>29</v>
      </c>
      <c r="I106" s="1" t="s">
        <v>141</v>
      </c>
      <c r="J106" s="1" t="s">
        <v>19</v>
      </c>
      <c r="K106" s="1" t="s">
        <v>426</v>
      </c>
      <c r="L106" s="1" t="s">
        <v>21</v>
      </c>
    </row>
    <row r="107" spans="1:12" x14ac:dyDescent="0.25">
      <c r="A107" s="1" t="s">
        <v>427</v>
      </c>
      <c r="B107" s="1" t="s">
        <v>428</v>
      </c>
      <c r="C107" s="1" t="s">
        <v>429</v>
      </c>
      <c r="D107" s="1" t="s">
        <v>430</v>
      </c>
      <c r="E107" s="1" t="s">
        <v>431</v>
      </c>
      <c r="F107" s="1" t="s">
        <v>412</v>
      </c>
      <c r="G107" s="1" t="s">
        <v>129</v>
      </c>
      <c r="H107" s="1" t="s">
        <v>29</v>
      </c>
      <c r="I107" s="1" t="s">
        <v>83</v>
      </c>
      <c r="J107" s="1" t="s">
        <v>30</v>
      </c>
      <c r="K107" s="1" t="s">
        <v>432</v>
      </c>
      <c r="L107" s="1" t="s">
        <v>21</v>
      </c>
    </row>
    <row r="108" spans="1:12" x14ac:dyDescent="0.25">
      <c r="A108" s="1" t="s">
        <v>433</v>
      </c>
      <c r="B108" s="1" t="s">
        <v>434</v>
      </c>
      <c r="C108" s="1" t="s">
        <v>435</v>
      </c>
      <c r="D108" s="1" t="s">
        <v>51</v>
      </c>
      <c r="E108" s="1" t="s">
        <v>436</v>
      </c>
      <c r="F108" s="1" t="s">
        <v>412</v>
      </c>
      <c r="G108" s="1" t="s">
        <v>99</v>
      </c>
      <c r="H108" s="1" t="s">
        <v>29</v>
      </c>
      <c r="I108" s="1" t="s">
        <v>354</v>
      </c>
      <c r="J108" s="1" t="s">
        <v>19</v>
      </c>
      <c r="K108" s="1" t="s">
        <v>437</v>
      </c>
      <c r="L108" s="1" t="s">
        <v>21</v>
      </c>
    </row>
    <row r="109" spans="1:12" x14ac:dyDescent="0.25">
      <c r="A109" s="1" t="s">
        <v>438</v>
      </c>
      <c r="B109" s="1" t="s">
        <v>439</v>
      </c>
      <c r="C109" s="1" t="s">
        <v>440</v>
      </c>
      <c r="D109" s="1" t="s">
        <v>51</v>
      </c>
      <c r="E109" s="1" t="s">
        <v>122</v>
      </c>
      <c r="F109" s="1" t="s">
        <v>123</v>
      </c>
      <c r="G109" s="1" t="s">
        <v>413</v>
      </c>
      <c r="H109" s="1" t="s">
        <v>29</v>
      </c>
      <c r="I109" s="1" t="s">
        <v>141</v>
      </c>
      <c r="J109" s="1" t="s">
        <v>30</v>
      </c>
      <c r="K109" s="1" t="s">
        <v>258</v>
      </c>
      <c r="L109" s="1" t="s">
        <v>21</v>
      </c>
    </row>
    <row r="110" spans="1:12" x14ac:dyDescent="0.25">
      <c r="A110" s="1" t="s">
        <v>441</v>
      </c>
      <c r="B110" s="1" t="s">
        <v>78</v>
      </c>
      <c r="C110" s="1" t="s">
        <v>79</v>
      </c>
      <c r="D110" s="1" t="s">
        <v>35</v>
      </c>
      <c r="E110" s="1" t="s">
        <v>80</v>
      </c>
      <c r="F110" s="1" t="s">
        <v>171</v>
      </c>
      <c r="G110" s="1" t="s">
        <v>82</v>
      </c>
      <c r="H110" s="1" t="s">
        <v>29</v>
      </c>
      <c r="I110" s="1" t="s">
        <v>83</v>
      </c>
      <c r="J110" s="1" t="s">
        <v>40</v>
      </c>
      <c r="K110" s="1" t="s">
        <v>41</v>
      </c>
      <c r="L110" s="1" t="s">
        <v>21</v>
      </c>
    </row>
    <row r="111" spans="1:12" x14ac:dyDescent="0.25">
      <c r="A111" s="1" t="s">
        <v>442</v>
      </c>
      <c r="B111" s="1" t="s">
        <v>78</v>
      </c>
      <c r="C111" s="1" t="s">
        <v>79</v>
      </c>
      <c r="D111" s="1" t="s">
        <v>51</v>
      </c>
      <c r="E111" s="1" t="s">
        <v>173</v>
      </c>
      <c r="F111" s="1" t="s">
        <v>37</v>
      </c>
      <c r="G111" s="1" t="s">
        <v>174</v>
      </c>
      <c r="H111" s="1" t="s">
        <v>29</v>
      </c>
      <c r="I111" s="1" t="s">
        <v>83</v>
      </c>
      <c r="J111" s="1" t="s">
        <v>40</v>
      </c>
      <c r="K111" s="1" t="s">
        <v>41</v>
      </c>
      <c r="L111" s="1" t="s">
        <v>21</v>
      </c>
    </row>
    <row r="112" spans="1:12" x14ac:dyDescent="0.25">
      <c r="A112" s="1" t="s">
        <v>443</v>
      </c>
      <c r="B112" s="1" t="s">
        <v>444</v>
      </c>
      <c r="C112" s="1" t="s">
        <v>445</v>
      </c>
      <c r="D112" s="1" t="s">
        <v>51</v>
      </c>
      <c r="E112" s="1" t="s">
        <v>446</v>
      </c>
      <c r="F112" s="1" t="s">
        <v>447</v>
      </c>
      <c r="G112" s="1" t="s">
        <v>16</v>
      </c>
      <c r="H112" s="1" t="s">
        <v>17</v>
      </c>
      <c r="I112" s="1" t="s">
        <v>94</v>
      </c>
      <c r="J112" s="1" t="s">
        <v>40</v>
      </c>
      <c r="K112" s="1" t="s">
        <v>55</v>
      </c>
      <c r="L112" s="1" t="s">
        <v>21</v>
      </c>
    </row>
    <row r="113" spans="1:12" x14ac:dyDescent="0.25">
      <c r="A113" s="1" t="s">
        <v>448</v>
      </c>
      <c r="B113" s="1" t="s">
        <v>449</v>
      </c>
      <c r="C113" s="1" t="s">
        <v>450</v>
      </c>
      <c r="D113" s="1" t="s">
        <v>51</v>
      </c>
      <c r="E113" s="1" t="s">
        <v>451</v>
      </c>
      <c r="F113" s="1" t="s">
        <v>257</v>
      </c>
      <c r="G113" s="1" t="s">
        <v>129</v>
      </c>
      <c r="H113" s="1" t="s">
        <v>17</v>
      </c>
      <c r="I113" s="1" t="s">
        <v>141</v>
      </c>
      <c r="J113" s="1" t="s">
        <v>19</v>
      </c>
      <c r="K113" s="1" t="s">
        <v>452</v>
      </c>
      <c r="L113" s="1" t="s">
        <v>21</v>
      </c>
    </row>
    <row r="114" spans="1:12" x14ac:dyDescent="0.25">
      <c r="A114" s="1" t="s">
        <v>453</v>
      </c>
      <c r="B114" s="1" t="s">
        <v>78</v>
      </c>
      <c r="C114" s="1" t="s">
        <v>79</v>
      </c>
      <c r="D114" s="1" t="s">
        <v>51</v>
      </c>
      <c r="E114" s="1" t="s">
        <v>80</v>
      </c>
      <c r="F114" s="1" t="s">
        <v>81</v>
      </c>
      <c r="G114" s="1" t="s">
        <v>82</v>
      </c>
      <c r="H114" s="1" t="s">
        <v>29</v>
      </c>
      <c r="I114" s="1" t="s">
        <v>83</v>
      </c>
      <c r="J114" s="1" t="s">
        <v>40</v>
      </c>
      <c r="K114" s="1" t="s">
        <v>41</v>
      </c>
      <c r="L114" s="1" t="s">
        <v>21</v>
      </c>
    </row>
    <row r="115" spans="1:12" x14ac:dyDescent="0.25">
      <c r="A115" s="1" t="s">
        <v>454</v>
      </c>
      <c r="B115" s="1" t="s">
        <v>33</v>
      </c>
      <c r="C115" s="1" t="s">
        <v>34</v>
      </c>
      <c r="D115" s="1" t="s">
        <v>186</v>
      </c>
      <c r="E115" s="1" t="s">
        <v>80</v>
      </c>
      <c r="F115" s="1" t="s">
        <v>187</v>
      </c>
      <c r="G115" s="1" t="s">
        <v>38</v>
      </c>
      <c r="H115" s="1" t="s">
        <v>29</v>
      </c>
      <c r="I115" s="1" t="s">
        <v>39</v>
      </c>
      <c r="J115" s="1" t="s">
        <v>40</v>
      </c>
      <c r="K115" s="1" t="s">
        <v>41</v>
      </c>
      <c r="L115" s="1" t="s">
        <v>21</v>
      </c>
    </row>
    <row r="116" spans="1:12" x14ac:dyDescent="0.25">
      <c r="A116" s="1" t="s">
        <v>455</v>
      </c>
      <c r="B116" s="1" t="s">
        <v>456</v>
      </c>
      <c r="C116" s="1" t="s">
        <v>457</v>
      </c>
      <c r="D116" s="1" t="s">
        <v>35</v>
      </c>
      <c r="E116" s="1" t="s">
        <v>458</v>
      </c>
      <c r="F116" s="1" t="s">
        <v>233</v>
      </c>
      <c r="G116" s="1" t="s">
        <v>459</v>
      </c>
      <c r="H116" s="1" t="s">
        <v>29</v>
      </c>
      <c r="I116" s="1" t="s">
        <v>460</v>
      </c>
      <c r="J116" s="1" t="s">
        <v>19</v>
      </c>
      <c r="K116" s="1" t="s">
        <v>461</v>
      </c>
      <c r="L116" s="1" t="s">
        <v>21</v>
      </c>
    </row>
    <row r="117" spans="1:12" x14ac:dyDescent="0.25">
      <c r="A117" s="1" t="s">
        <v>462</v>
      </c>
      <c r="B117" s="1" t="s">
        <v>463</v>
      </c>
      <c r="C117" s="1" t="s">
        <v>464</v>
      </c>
      <c r="D117" s="1" t="s">
        <v>417</v>
      </c>
      <c r="E117" s="1" t="s">
        <v>115</v>
      </c>
      <c r="F117" s="1" t="s">
        <v>465</v>
      </c>
      <c r="G117" s="1" t="s">
        <v>16</v>
      </c>
      <c r="H117" s="1" t="s">
        <v>17</v>
      </c>
      <c r="I117" s="1" t="s">
        <v>360</v>
      </c>
      <c r="J117" s="1" t="s">
        <v>19</v>
      </c>
      <c r="K117" s="1" t="s">
        <v>466</v>
      </c>
      <c r="L117" s="1" t="s">
        <v>21</v>
      </c>
    </row>
    <row r="118" spans="1:12" x14ac:dyDescent="0.25">
      <c r="A118" s="1" t="s">
        <v>467</v>
      </c>
      <c r="B118" s="1" t="s">
        <v>468</v>
      </c>
      <c r="C118" s="1" t="s">
        <v>469</v>
      </c>
      <c r="D118" s="1" t="s">
        <v>470</v>
      </c>
      <c r="E118" s="1" t="s">
        <v>471</v>
      </c>
      <c r="F118" s="1" t="s">
        <v>472</v>
      </c>
      <c r="G118" s="1" t="s">
        <v>160</v>
      </c>
      <c r="H118" s="1" t="s">
        <v>29</v>
      </c>
      <c r="I118" s="1" t="s">
        <v>141</v>
      </c>
      <c r="J118" s="1" t="s">
        <v>19</v>
      </c>
      <c r="K118" s="1" t="s">
        <v>406</v>
      </c>
      <c r="L118" s="1" t="s">
        <v>21</v>
      </c>
    </row>
    <row r="119" spans="1:12" x14ac:dyDescent="0.25">
      <c r="A119" s="1" t="s">
        <v>473</v>
      </c>
      <c r="B119" s="1" t="s">
        <v>474</v>
      </c>
      <c r="C119" s="1" t="s">
        <v>475</v>
      </c>
      <c r="D119" s="1" t="s">
        <v>13</v>
      </c>
      <c r="E119" s="1" t="s">
        <v>59</v>
      </c>
      <c r="F119" s="1" t="s">
        <v>476</v>
      </c>
      <c r="G119" s="1" t="s">
        <v>16</v>
      </c>
      <c r="H119" s="1" t="s">
        <v>17</v>
      </c>
      <c r="I119" s="1" t="s">
        <v>83</v>
      </c>
      <c r="J119" s="1" t="s">
        <v>30</v>
      </c>
      <c r="K119" s="1" t="s">
        <v>477</v>
      </c>
      <c r="L119" s="1" t="s">
        <v>21</v>
      </c>
    </row>
    <row r="120" spans="1:12" x14ac:dyDescent="0.25">
      <c r="A120" s="1" t="s">
        <v>478</v>
      </c>
      <c r="B120" s="1" t="s">
        <v>78</v>
      </c>
      <c r="C120" s="1" t="s">
        <v>79</v>
      </c>
      <c r="D120" s="1" t="s">
        <v>178</v>
      </c>
      <c r="E120" s="1" t="s">
        <v>210</v>
      </c>
      <c r="F120" s="1" t="s">
        <v>211</v>
      </c>
      <c r="G120" s="1" t="s">
        <v>212</v>
      </c>
      <c r="H120" s="1" t="s">
        <v>29</v>
      </c>
      <c r="I120" s="1" t="s">
        <v>83</v>
      </c>
      <c r="J120" s="1" t="s">
        <v>40</v>
      </c>
      <c r="K120" s="1" t="s">
        <v>41</v>
      </c>
      <c r="L120" s="1" t="s">
        <v>21</v>
      </c>
    </row>
    <row r="121" spans="1:12" x14ac:dyDescent="0.25">
      <c r="A121" s="1" t="s">
        <v>479</v>
      </c>
      <c r="B121" s="1" t="s">
        <v>78</v>
      </c>
      <c r="C121" s="1" t="s">
        <v>214</v>
      </c>
      <c r="D121" s="1" t="s">
        <v>45</v>
      </c>
      <c r="E121" s="1" t="s">
        <v>215</v>
      </c>
      <c r="F121" s="1" t="s">
        <v>216</v>
      </c>
      <c r="G121" s="1" t="s">
        <v>82</v>
      </c>
      <c r="H121" s="1" t="s">
        <v>29</v>
      </c>
      <c r="I121" s="1" t="s">
        <v>83</v>
      </c>
      <c r="J121" s="1" t="s">
        <v>40</v>
      </c>
      <c r="K121" s="1" t="s">
        <v>41</v>
      </c>
      <c r="L121" s="1" t="s">
        <v>21</v>
      </c>
    </row>
    <row r="122" spans="1:12" x14ac:dyDescent="0.25">
      <c r="A122" s="1" t="s">
        <v>480</v>
      </c>
      <c r="B122" s="1" t="s">
        <v>481</v>
      </c>
      <c r="C122" s="1" t="s">
        <v>482</v>
      </c>
      <c r="D122" s="1" t="s">
        <v>25</v>
      </c>
      <c r="E122" s="1" t="s">
        <v>483</v>
      </c>
      <c r="F122" s="1" t="s">
        <v>484</v>
      </c>
      <c r="G122" s="1" t="s">
        <v>16</v>
      </c>
      <c r="H122" s="1" t="s">
        <v>485</v>
      </c>
      <c r="I122" s="1" t="s">
        <v>354</v>
      </c>
      <c r="J122" s="1" t="s">
        <v>30</v>
      </c>
      <c r="K122" s="1" t="s">
        <v>486</v>
      </c>
      <c r="L122" s="1" t="s">
        <v>21</v>
      </c>
    </row>
    <row r="123" spans="1:12" x14ac:dyDescent="0.25">
      <c r="A123" s="1" t="s">
        <v>487</v>
      </c>
      <c r="B123" s="1" t="s">
        <v>488</v>
      </c>
      <c r="C123" s="1" t="s">
        <v>489</v>
      </c>
      <c r="D123" s="1" t="s">
        <v>51</v>
      </c>
      <c r="E123" s="1" t="s">
        <v>352</v>
      </c>
      <c r="F123" s="1" t="s">
        <v>123</v>
      </c>
      <c r="G123" s="1" t="s">
        <v>160</v>
      </c>
      <c r="H123" s="1" t="s">
        <v>17</v>
      </c>
      <c r="I123" s="1" t="s">
        <v>141</v>
      </c>
      <c r="J123" s="1" t="s">
        <v>19</v>
      </c>
      <c r="K123" s="1" t="s">
        <v>490</v>
      </c>
      <c r="L123" s="1" t="s">
        <v>21</v>
      </c>
    </row>
    <row r="124" spans="1:12" x14ac:dyDescent="0.25">
      <c r="A124" s="1" t="s">
        <v>491</v>
      </c>
      <c r="B124" s="1" t="s">
        <v>33</v>
      </c>
      <c r="C124" s="1" t="s">
        <v>34</v>
      </c>
      <c r="D124" s="1" t="s">
        <v>35</v>
      </c>
      <c r="E124" s="1" t="s">
        <v>36</v>
      </c>
      <c r="F124" s="1" t="s">
        <v>37</v>
      </c>
      <c r="G124" s="1" t="s">
        <v>38</v>
      </c>
      <c r="H124" s="1" t="s">
        <v>29</v>
      </c>
      <c r="I124" s="1" t="s">
        <v>39</v>
      </c>
      <c r="J124" s="1" t="s">
        <v>40</v>
      </c>
      <c r="K124" s="1" t="s">
        <v>41</v>
      </c>
      <c r="L124" s="1" t="s">
        <v>21</v>
      </c>
    </row>
    <row r="125" spans="1:12" x14ac:dyDescent="0.25">
      <c r="A125" s="1" t="s">
        <v>492</v>
      </c>
      <c r="B125" s="1" t="s">
        <v>43</v>
      </c>
      <c r="C125" s="1" t="s">
        <v>44</v>
      </c>
      <c r="D125" s="1" t="s">
        <v>35</v>
      </c>
      <c r="E125" s="1" t="s">
        <v>45</v>
      </c>
      <c r="F125" s="1" t="s">
        <v>46</v>
      </c>
      <c r="G125" s="1" t="s">
        <v>47</v>
      </c>
      <c r="H125" s="1" t="s">
        <v>29</v>
      </c>
      <c r="I125" s="1" t="s">
        <v>39</v>
      </c>
      <c r="J125" s="1" t="s">
        <v>40</v>
      </c>
      <c r="K125" s="1" t="s">
        <v>41</v>
      </c>
      <c r="L125" s="1" t="s">
        <v>21</v>
      </c>
    </row>
    <row r="126" spans="1:12" x14ac:dyDescent="0.25">
      <c r="A126" s="1" t="s">
        <v>493</v>
      </c>
      <c r="B126" s="1" t="s">
        <v>494</v>
      </c>
      <c r="C126" s="1" t="s">
        <v>495</v>
      </c>
      <c r="D126" s="1" t="s">
        <v>157</v>
      </c>
      <c r="E126" s="1" t="s">
        <v>87</v>
      </c>
      <c r="F126" s="1" t="s">
        <v>159</v>
      </c>
      <c r="G126" s="1" t="s">
        <v>212</v>
      </c>
      <c r="H126" s="1" t="s">
        <v>29</v>
      </c>
      <c r="I126" s="1" t="s">
        <v>54</v>
      </c>
      <c r="J126" s="1" t="s">
        <v>19</v>
      </c>
      <c r="K126" s="1" t="s">
        <v>55</v>
      </c>
      <c r="L126" s="1" t="s">
        <v>21</v>
      </c>
    </row>
    <row r="127" spans="1:12" x14ac:dyDescent="0.25">
      <c r="A127" s="1" t="s">
        <v>496</v>
      </c>
      <c r="B127" s="1" t="s">
        <v>271</v>
      </c>
      <c r="C127" s="1" t="s">
        <v>272</v>
      </c>
      <c r="D127" s="1" t="s">
        <v>25</v>
      </c>
      <c r="E127" s="1" t="s">
        <v>497</v>
      </c>
      <c r="F127" s="1" t="s">
        <v>498</v>
      </c>
      <c r="G127" s="1" t="s">
        <v>99</v>
      </c>
      <c r="H127" s="1" t="s">
        <v>29</v>
      </c>
      <c r="I127" s="1" t="s">
        <v>141</v>
      </c>
      <c r="J127" s="1" t="s">
        <v>19</v>
      </c>
      <c r="K127" s="1" t="s">
        <v>88</v>
      </c>
      <c r="L127" s="1" t="s">
        <v>21</v>
      </c>
    </row>
    <row r="128" spans="1:12" x14ac:dyDescent="0.25">
      <c r="A128" s="1" t="s">
        <v>499</v>
      </c>
      <c r="B128" s="1" t="s">
        <v>500</v>
      </c>
      <c r="C128" s="1" t="s">
        <v>501</v>
      </c>
      <c r="D128" s="1" t="s">
        <v>13</v>
      </c>
      <c r="E128" s="1" t="s">
        <v>502</v>
      </c>
      <c r="F128" s="1" t="s">
        <v>498</v>
      </c>
      <c r="G128" s="1" t="s">
        <v>503</v>
      </c>
      <c r="H128" s="1" t="s">
        <v>29</v>
      </c>
      <c r="I128" s="1" t="s">
        <v>141</v>
      </c>
      <c r="J128" s="1" t="s">
        <v>19</v>
      </c>
      <c r="K128" s="1" t="s">
        <v>504</v>
      </c>
      <c r="L128" s="1" t="s">
        <v>21</v>
      </c>
    </row>
    <row r="129" spans="1:12" x14ac:dyDescent="0.25">
      <c r="A129" s="1" t="s">
        <v>505</v>
      </c>
      <c r="B129" s="1" t="s">
        <v>506</v>
      </c>
      <c r="C129" s="1" t="s">
        <v>507</v>
      </c>
      <c r="D129" s="1" t="s">
        <v>243</v>
      </c>
      <c r="E129" s="1" t="s">
        <v>431</v>
      </c>
      <c r="F129" s="1" t="s">
        <v>508</v>
      </c>
      <c r="G129" s="1" t="s">
        <v>16</v>
      </c>
      <c r="H129" s="1" t="s">
        <v>29</v>
      </c>
      <c r="I129" s="1" t="s">
        <v>141</v>
      </c>
      <c r="J129" s="1" t="s">
        <v>30</v>
      </c>
      <c r="K129" s="1" t="s">
        <v>55</v>
      </c>
      <c r="L129" s="1" t="s">
        <v>21</v>
      </c>
    </row>
    <row r="130" spans="1:12" x14ac:dyDescent="0.25">
      <c r="A130" s="1" t="s">
        <v>509</v>
      </c>
      <c r="B130" s="1" t="s">
        <v>33</v>
      </c>
      <c r="C130" s="1" t="s">
        <v>34</v>
      </c>
      <c r="D130" s="1" t="s">
        <v>35</v>
      </c>
      <c r="E130" s="1" t="s">
        <v>36</v>
      </c>
      <c r="F130" s="1" t="s">
        <v>37</v>
      </c>
      <c r="G130" s="1" t="s">
        <v>38</v>
      </c>
      <c r="H130" s="1" t="s">
        <v>29</v>
      </c>
      <c r="I130" s="1" t="s">
        <v>39</v>
      </c>
      <c r="J130" s="1" t="s">
        <v>40</v>
      </c>
      <c r="K130" s="1" t="s">
        <v>41</v>
      </c>
      <c r="L130" s="1" t="s">
        <v>21</v>
      </c>
    </row>
    <row r="131" spans="1:12" x14ac:dyDescent="0.25">
      <c r="A131" s="1" t="s">
        <v>510</v>
      </c>
      <c r="B131" s="1" t="s">
        <v>78</v>
      </c>
      <c r="C131" s="1" t="s">
        <v>79</v>
      </c>
      <c r="D131" s="1" t="s">
        <v>51</v>
      </c>
      <c r="E131" s="1" t="s">
        <v>80</v>
      </c>
      <c r="F131" s="1" t="s">
        <v>81</v>
      </c>
      <c r="G131" s="1" t="s">
        <v>82</v>
      </c>
      <c r="H131" s="1" t="s">
        <v>29</v>
      </c>
      <c r="I131" s="1" t="s">
        <v>83</v>
      </c>
      <c r="J131" s="1" t="s">
        <v>40</v>
      </c>
      <c r="K131" s="1" t="s">
        <v>41</v>
      </c>
      <c r="L131" s="1" t="s">
        <v>21</v>
      </c>
    </row>
    <row r="132" spans="1:12" x14ac:dyDescent="0.25">
      <c r="A132" s="1" t="s">
        <v>511</v>
      </c>
      <c r="B132" s="1" t="s">
        <v>512</v>
      </c>
      <c r="C132" s="1" t="s">
        <v>513</v>
      </c>
      <c r="D132" s="1" t="s">
        <v>514</v>
      </c>
      <c r="E132" s="1" t="s">
        <v>515</v>
      </c>
      <c r="F132" s="1" t="s">
        <v>516</v>
      </c>
      <c r="G132" s="1" t="s">
        <v>16</v>
      </c>
      <c r="H132" s="1" t="s">
        <v>17</v>
      </c>
      <c r="I132" s="1" t="s">
        <v>117</v>
      </c>
      <c r="J132" s="1" t="s">
        <v>30</v>
      </c>
      <c r="K132" s="1" t="s">
        <v>55</v>
      </c>
      <c r="L132" s="1" t="s">
        <v>21</v>
      </c>
    </row>
    <row r="133" spans="1:12" x14ac:dyDescent="0.25">
      <c r="A133" s="1" t="s">
        <v>517</v>
      </c>
      <c r="B133" s="1" t="s">
        <v>518</v>
      </c>
      <c r="C133" s="1" t="s">
        <v>519</v>
      </c>
      <c r="D133" s="1" t="s">
        <v>51</v>
      </c>
      <c r="E133" s="1" t="s">
        <v>515</v>
      </c>
      <c r="F133" s="1" t="s">
        <v>391</v>
      </c>
      <c r="G133" s="1" t="s">
        <v>327</v>
      </c>
      <c r="H133" s="1" t="s">
        <v>29</v>
      </c>
      <c r="I133" s="1" t="s">
        <v>354</v>
      </c>
      <c r="J133" s="1" t="s">
        <v>19</v>
      </c>
      <c r="K133" s="1" t="s">
        <v>248</v>
      </c>
      <c r="L133" s="1" t="s">
        <v>21</v>
      </c>
    </row>
    <row r="134" spans="1:12" x14ac:dyDescent="0.25">
      <c r="A134" s="1" t="s">
        <v>520</v>
      </c>
      <c r="B134" s="1" t="s">
        <v>78</v>
      </c>
      <c r="C134" s="1" t="s">
        <v>79</v>
      </c>
      <c r="D134" s="1" t="s">
        <v>96</v>
      </c>
      <c r="E134" s="1" t="s">
        <v>97</v>
      </c>
      <c r="F134" s="1" t="s">
        <v>98</v>
      </c>
      <c r="G134" s="1" t="s">
        <v>99</v>
      </c>
      <c r="H134" s="1" t="s">
        <v>29</v>
      </c>
      <c r="I134" s="1" t="s">
        <v>83</v>
      </c>
      <c r="J134" s="1" t="s">
        <v>40</v>
      </c>
      <c r="K134" s="1" t="s">
        <v>41</v>
      </c>
      <c r="L134" s="1" t="s">
        <v>21</v>
      </c>
    </row>
    <row r="135" spans="1:12" x14ac:dyDescent="0.25">
      <c r="A135" s="1" t="s">
        <v>521</v>
      </c>
      <c r="B135" s="1" t="s">
        <v>101</v>
      </c>
      <c r="C135" s="1" t="s">
        <v>102</v>
      </c>
      <c r="D135" s="1" t="s">
        <v>103</v>
      </c>
      <c r="E135" s="1" t="s">
        <v>104</v>
      </c>
      <c r="F135" s="1" t="s">
        <v>105</v>
      </c>
      <c r="G135" s="1" t="s">
        <v>47</v>
      </c>
      <c r="H135" s="1" t="s">
        <v>29</v>
      </c>
      <c r="I135" s="1" t="s">
        <v>106</v>
      </c>
      <c r="J135" s="1" t="s">
        <v>40</v>
      </c>
      <c r="K135" s="1" t="s">
        <v>41</v>
      </c>
      <c r="L135" s="1" t="s">
        <v>21</v>
      </c>
    </row>
    <row r="136" spans="1:12" x14ac:dyDescent="0.25">
      <c r="A136" s="1" t="s">
        <v>522</v>
      </c>
      <c r="B136" s="1" t="s">
        <v>523</v>
      </c>
      <c r="C136" s="1" t="s">
        <v>524</v>
      </c>
      <c r="D136" s="1" t="s">
        <v>25</v>
      </c>
      <c r="E136" s="1" t="s">
        <v>109</v>
      </c>
      <c r="F136" s="1" t="s">
        <v>273</v>
      </c>
      <c r="G136" s="1" t="s">
        <v>160</v>
      </c>
      <c r="H136" s="1" t="s">
        <v>29</v>
      </c>
      <c r="I136" s="1" t="s">
        <v>39</v>
      </c>
      <c r="J136" s="1" t="s">
        <v>30</v>
      </c>
      <c r="K136" s="1" t="s">
        <v>525</v>
      </c>
      <c r="L136" s="1" t="s">
        <v>21</v>
      </c>
    </row>
    <row r="137" spans="1:12" x14ac:dyDescent="0.25">
      <c r="A137" s="1" t="s">
        <v>526</v>
      </c>
      <c r="B137" s="1" t="s">
        <v>527</v>
      </c>
      <c r="C137" s="1" t="s">
        <v>528</v>
      </c>
      <c r="D137" s="1" t="s">
        <v>51</v>
      </c>
      <c r="E137" s="1" t="s">
        <v>352</v>
      </c>
      <c r="F137" s="1" t="s">
        <v>123</v>
      </c>
      <c r="G137" s="1" t="s">
        <v>503</v>
      </c>
      <c r="H137" s="1" t="s">
        <v>29</v>
      </c>
      <c r="I137" s="1" t="s">
        <v>354</v>
      </c>
      <c r="J137" s="1" t="s">
        <v>168</v>
      </c>
      <c r="K137" s="1" t="s">
        <v>88</v>
      </c>
      <c r="L137" s="1" t="s">
        <v>21</v>
      </c>
    </row>
    <row r="138" spans="1:12" x14ac:dyDescent="0.25">
      <c r="A138" s="1" t="s">
        <v>529</v>
      </c>
      <c r="B138" s="1" t="s">
        <v>530</v>
      </c>
      <c r="C138" s="1" t="s">
        <v>531</v>
      </c>
      <c r="D138" s="1" t="s">
        <v>532</v>
      </c>
      <c r="E138" s="1" t="s">
        <v>352</v>
      </c>
      <c r="F138" s="1" t="s">
        <v>412</v>
      </c>
      <c r="G138" s="1" t="s">
        <v>16</v>
      </c>
      <c r="H138" s="1" t="s">
        <v>29</v>
      </c>
      <c r="I138" s="1" t="s">
        <v>141</v>
      </c>
      <c r="J138" s="1" t="s">
        <v>168</v>
      </c>
      <c r="K138" s="1" t="s">
        <v>62</v>
      </c>
      <c r="L138" s="1" t="s">
        <v>21</v>
      </c>
    </row>
    <row r="139" spans="1:12" x14ac:dyDescent="0.25">
      <c r="A139" s="1" t="s">
        <v>533</v>
      </c>
      <c r="B139" s="1" t="s">
        <v>534</v>
      </c>
      <c r="C139" s="1" t="s">
        <v>535</v>
      </c>
      <c r="D139" s="1" t="s">
        <v>157</v>
      </c>
      <c r="E139" s="1" t="s">
        <v>189</v>
      </c>
      <c r="F139" s="1" t="s">
        <v>159</v>
      </c>
      <c r="G139" s="1" t="s">
        <v>16</v>
      </c>
      <c r="H139" s="1" t="s">
        <v>29</v>
      </c>
      <c r="I139" s="1" t="s">
        <v>141</v>
      </c>
      <c r="J139" s="1" t="s">
        <v>30</v>
      </c>
      <c r="K139" s="1" t="s">
        <v>55</v>
      </c>
      <c r="L139" s="1" t="s">
        <v>21</v>
      </c>
    </row>
    <row r="140" spans="1:12" x14ac:dyDescent="0.25">
      <c r="A140" s="1" t="s">
        <v>536</v>
      </c>
      <c r="B140" s="1" t="s">
        <v>43</v>
      </c>
      <c r="C140" s="1" t="s">
        <v>44</v>
      </c>
      <c r="D140" s="1" t="s">
        <v>35</v>
      </c>
      <c r="E140" s="1" t="s">
        <v>45</v>
      </c>
      <c r="F140" s="1" t="s">
        <v>46</v>
      </c>
      <c r="G140" s="1" t="s">
        <v>47</v>
      </c>
      <c r="H140" s="1" t="s">
        <v>29</v>
      </c>
      <c r="I140" s="1" t="s">
        <v>39</v>
      </c>
      <c r="J140" s="1" t="s">
        <v>40</v>
      </c>
      <c r="K140" s="1" t="s">
        <v>41</v>
      </c>
      <c r="L140" s="1" t="s">
        <v>21</v>
      </c>
    </row>
    <row r="141" spans="1:12" x14ac:dyDescent="0.25">
      <c r="A141" s="1" t="s">
        <v>537</v>
      </c>
      <c r="B141" s="1" t="s">
        <v>43</v>
      </c>
      <c r="C141" s="1" t="s">
        <v>44</v>
      </c>
      <c r="D141" s="1" t="s">
        <v>35</v>
      </c>
      <c r="E141" s="1" t="s">
        <v>45</v>
      </c>
      <c r="F141" s="1" t="s">
        <v>46</v>
      </c>
      <c r="G141" s="1" t="s">
        <v>47</v>
      </c>
      <c r="H141" s="1" t="s">
        <v>29</v>
      </c>
      <c r="I141" s="1" t="s">
        <v>39</v>
      </c>
      <c r="J141" s="1" t="s">
        <v>40</v>
      </c>
      <c r="K141" s="1" t="s">
        <v>41</v>
      </c>
      <c r="L141" s="1" t="s">
        <v>21</v>
      </c>
    </row>
    <row r="142" spans="1:12" x14ac:dyDescent="0.25">
      <c r="A142" s="1" t="s">
        <v>538</v>
      </c>
      <c r="B142" s="1" t="s">
        <v>539</v>
      </c>
      <c r="C142" s="1" t="s">
        <v>540</v>
      </c>
      <c r="D142" s="1" t="s">
        <v>51</v>
      </c>
      <c r="E142" s="1" t="s">
        <v>122</v>
      </c>
      <c r="F142" s="1" t="s">
        <v>123</v>
      </c>
      <c r="G142" s="1" t="s">
        <v>413</v>
      </c>
      <c r="H142" s="1" t="s">
        <v>17</v>
      </c>
      <c r="I142" s="1" t="s">
        <v>141</v>
      </c>
      <c r="J142" s="1" t="s">
        <v>19</v>
      </c>
      <c r="K142" s="1" t="s">
        <v>258</v>
      </c>
      <c r="L142" s="1" t="s">
        <v>21</v>
      </c>
    </row>
    <row r="143" spans="1:12" x14ac:dyDescent="0.25">
      <c r="A143" s="1" t="s">
        <v>541</v>
      </c>
      <c r="B143" s="1" t="s">
        <v>542</v>
      </c>
      <c r="C143" s="1" t="s">
        <v>543</v>
      </c>
      <c r="D143" s="1" t="s">
        <v>51</v>
      </c>
      <c r="E143" s="1" t="s">
        <v>52</v>
      </c>
      <c r="F143" s="1" t="s">
        <v>53</v>
      </c>
      <c r="G143" s="1" t="s">
        <v>160</v>
      </c>
      <c r="H143" s="1" t="s">
        <v>17</v>
      </c>
      <c r="I143" s="1" t="s">
        <v>141</v>
      </c>
      <c r="J143" s="1" t="s">
        <v>19</v>
      </c>
      <c r="K143" s="1" t="s">
        <v>55</v>
      </c>
      <c r="L143" s="1" t="s">
        <v>21</v>
      </c>
    </row>
    <row r="144" spans="1:12" x14ac:dyDescent="0.25">
      <c r="A144" s="1" t="s">
        <v>544</v>
      </c>
      <c r="B144" s="1" t="s">
        <v>78</v>
      </c>
      <c r="C144" s="1" t="s">
        <v>79</v>
      </c>
      <c r="D144" s="1" t="s">
        <v>51</v>
      </c>
      <c r="E144" s="1" t="s">
        <v>143</v>
      </c>
      <c r="F144" s="1" t="s">
        <v>144</v>
      </c>
      <c r="G144" s="1" t="s">
        <v>47</v>
      </c>
      <c r="H144" s="1" t="s">
        <v>29</v>
      </c>
      <c r="I144" s="1" t="s">
        <v>83</v>
      </c>
      <c r="J144" s="1" t="s">
        <v>40</v>
      </c>
      <c r="K144" s="1" t="s">
        <v>41</v>
      </c>
      <c r="L144" s="1" t="s">
        <v>21</v>
      </c>
    </row>
    <row r="145" spans="1:12" x14ac:dyDescent="0.25">
      <c r="A145" s="1" t="s">
        <v>545</v>
      </c>
      <c r="B145" s="1" t="s">
        <v>33</v>
      </c>
      <c r="C145" s="1" t="s">
        <v>34</v>
      </c>
      <c r="D145" s="1" t="s">
        <v>35</v>
      </c>
      <c r="E145" s="1" t="s">
        <v>146</v>
      </c>
      <c r="F145" s="1" t="s">
        <v>147</v>
      </c>
      <c r="G145" s="1" t="s">
        <v>38</v>
      </c>
      <c r="H145" s="1" t="s">
        <v>29</v>
      </c>
      <c r="I145" s="1" t="s">
        <v>39</v>
      </c>
      <c r="J145" s="1" t="s">
        <v>40</v>
      </c>
      <c r="K145" s="1" t="s">
        <v>41</v>
      </c>
      <c r="L145" s="1" t="s">
        <v>21</v>
      </c>
    </row>
    <row r="146" spans="1:12" x14ac:dyDescent="0.25">
      <c r="A146" s="1" t="s">
        <v>546</v>
      </c>
      <c r="B146" s="1" t="s">
        <v>547</v>
      </c>
      <c r="C146" s="1" t="s">
        <v>548</v>
      </c>
      <c r="D146" s="1" t="s">
        <v>549</v>
      </c>
      <c r="E146" s="1" t="s">
        <v>550</v>
      </c>
      <c r="F146" s="1" t="s">
        <v>382</v>
      </c>
      <c r="G146" s="1" t="s">
        <v>551</v>
      </c>
      <c r="H146" s="1" t="s">
        <v>29</v>
      </c>
      <c r="I146" s="1" t="s">
        <v>54</v>
      </c>
      <c r="J146" s="1" t="s">
        <v>19</v>
      </c>
      <c r="K146" s="1" t="s">
        <v>552</v>
      </c>
      <c r="L146" s="1" t="s">
        <v>21</v>
      </c>
    </row>
    <row r="147" spans="1:12" x14ac:dyDescent="0.25">
      <c r="A147" s="1" t="s">
        <v>553</v>
      </c>
      <c r="B147" s="1" t="s">
        <v>554</v>
      </c>
      <c r="C147" s="1" t="s">
        <v>555</v>
      </c>
      <c r="D147" s="1" t="s">
        <v>417</v>
      </c>
      <c r="E147" s="1" t="s">
        <v>556</v>
      </c>
      <c r="F147" s="1" t="s">
        <v>162</v>
      </c>
      <c r="G147" s="1" t="s">
        <v>503</v>
      </c>
      <c r="H147" s="1" t="s">
        <v>29</v>
      </c>
      <c r="I147" s="1" t="s">
        <v>141</v>
      </c>
      <c r="J147" s="1" t="s">
        <v>30</v>
      </c>
      <c r="K147" s="1" t="s">
        <v>153</v>
      </c>
      <c r="L147" s="1" t="s">
        <v>21</v>
      </c>
    </row>
    <row r="148" spans="1:12" x14ac:dyDescent="0.25">
      <c r="A148" s="1" t="s">
        <v>557</v>
      </c>
      <c r="B148" s="1" t="s">
        <v>558</v>
      </c>
      <c r="C148" s="1" t="s">
        <v>559</v>
      </c>
      <c r="D148" s="1" t="s">
        <v>560</v>
      </c>
      <c r="E148" s="1" t="s">
        <v>561</v>
      </c>
      <c r="F148" s="1" t="s">
        <v>364</v>
      </c>
      <c r="G148" s="1" t="s">
        <v>99</v>
      </c>
      <c r="H148" s="1" t="s">
        <v>17</v>
      </c>
      <c r="I148" s="1" t="s">
        <v>141</v>
      </c>
      <c r="J148" s="1" t="s">
        <v>19</v>
      </c>
      <c r="K148" s="1" t="s">
        <v>153</v>
      </c>
      <c r="L148" s="1" t="s">
        <v>21</v>
      </c>
    </row>
    <row r="149" spans="1:12" x14ac:dyDescent="0.25">
      <c r="A149" s="1" t="s">
        <v>562</v>
      </c>
      <c r="B149" s="1" t="s">
        <v>563</v>
      </c>
      <c r="C149" s="1" t="s">
        <v>564</v>
      </c>
      <c r="D149" s="1" t="s">
        <v>565</v>
      </c>
      <c r="E149" s="1" t="s">
        <v>566</v>
      </c>
      <c r="F149" s="1" t="s">
        <v>472</v>
      </c>
      <c r="G149" s="1" t="s">
        <v>503</v>
      </c>
      <c r="H149" s="1" t="s">
        <v>16</v>
      </c>
      <c r="I149" s="1" t="s">
        <v>141</v>
      </c>
      <c r="J149" s="1" t="s">
        <v>30</v>
      </c>
      <c r="K149" s="1" t="s">
        <v>567</v>
      </c>
      <c r="L149" s="1" t="s">
        <v>21</v>
      </c>
    </row>
    <row r="150" spans="1:12" x14ac:dyDescent="0.25">
      <c r="A150" s="1" t="s">
        <v>568</v>
      </c>
      <c r="B150" s="1" t="s">
        <v>78</v>
      </c>
      <c r="C150" s="1" t="s">
        <v>79</v>
      </c>
      <c r="D150" s="1" t="s">
        <v>35</v>
      </c>
      <c r="E150" s="1" t="s">
        <v>80</v>
      </c>
      <c r="F150" s="1" t="s">
        <v>171</v>
      </c>
      <c r="G150" s="1" t="s">
        <v>82</v>
      </c>
      <c r="H150" s="1" t="s">
        <v>29</v>
      </c>
      <c r="I150" s="1" t="s">
        <v>83</v>
      </c>
      <c r="J150" s="1" t="s">
        <v>40</v>
      </c>
      <c r="K150" s="1" t="s">
        <v>41</v>
      </c>
      <c r="L150" s="1" t="s">
        <v>21</v>
      </c>
    </row>
    <row r="151" spans="1:12" x14ac:dyDescent="0.25">
      <c r="A151" s="1" t="s">
        <v>569</v>
      </c>
      <c r="B151" s="1" t="s">
        <v>78</v>
      </c>
      <c r="C151" s="1" t="s">
        <v>79</v>
      </c>
      <c r="D151" s="1" t="s">
        <v>51</v>
      </c>
      <c r="E151" s="1" t="s">
        <v>173</v>
      </c>
      <c r="F151" s="1" t="s">
        <v>37</v>
      </c>
      <c r="G151" s="1" t="s">
        <v>174</v>
      </c>
      <c r="H151" s="1" t="s">
        <v>29</v>
      </c>
      <c r="I151" s="1" t="s">
        <v>83</v>
      </c>
      <c r="J151" s="1" t="s">
        <v>40</v>
      </c>
      <c r="K151" s="1" t="s">
        <v>41</v>
      </c>
      <c r="L151" s="1" t="s">
        <v>21</v>
      </c>
    </row>
    <row r="152" spans="1:12" x14ac:dyDescent="0.25">
      <c r="A152" s="1" t="s">
        <v>570</v>
      </c>
      <c r="B152" s="1" t="s">
        <v>571</v>
      </c>
      <c r="C152" s="1" t="s">
        <v>572</v>
      </c>
      <c r="D152" s="1" t="s">
        <v>573</v>
      </c>
      <c r="E152" s="1" t="s">
        <v>122</v>
      </c>
      <c r="F152" s="1" t="s">
        <v>574</v>
      </c>
      <c r="G152" s="1" t="s">
        <v>16</v>
      </c>
      <c r="H152" s="1" t="s">
        <v>29</v>
      </c>
      <c r="I152" s="1" t="s">
        <v>354</v>
      </c>
      <c r="J152" s="1" t="s">
        <v>30</v>
      </c>
      <c r="K152" s="1" t="s">
        <v>575</v>
      </c>
      <c r="L152" s="1" t="s">
        <v>21</v>
      </c>
    </row>
    <row r="153" spans="1:12" x14ac:dyDescent="0.25">
      <c r="A153" s="1" t="s">
        <v>576</v>
      </c>
      <c r="B153" s="1" t="s">
        <v>577</v>
      </c>
      <c r="C153" s="1" t="s">
        <v>578</v>
      </c>
      <c r="D153" s="1" t="s">
        <v>579</v>
      </c>
      <c r="E153" s="1" t="s">
        <v>471</v>
      </c>
      <c r="F153" s="1" t="s">
        <v>465</v>
      </c>
      <c r="G153" s="1" t="s">
        <v>551</v>
      </c>
      <c r="H153" s="1" t="s">
        <v>29</v>
      </c>
      <c r="I153" s="1" t="s">
        <v>141</v>
      </c>
      <c r="J153" s="1" t="s">
        <v>19</v>
      </c>
      <c r="K153" s="1" t="s">
        <v>153</v>
      </c>
      <c r="L153" s="1" t="s">
        <v>21</v>
      </c>
    </row>
    <row r="154" spans="1:12" x14ac:dyDescent="0.25">
      <c r="A154" s="1" t="s">
        <v>580</v>
      </c>
      <c r="B154" s="1" t="s">
        <v>78</v>
      </c>
      <c r="C154" s="1" t="s">
        <v>79</v>
      </c>
      <c r="D154" s="1" t="s">
        <v>51</v>
      </c>
      <c r="E154" s="1" t="s">
        <v>80</v>
      </c>
      <c r="F154" s="1" t="s">
        <v>81</v>
      </c>
      <c r="G154" s="1" t="s">
        <v>82</v>
      </c>
      <c r="H154" s="1" t="s">
        <v>29</v>
      </c>
      <c r="I154" s="1" t="s">
        <v>83</v>
      </c>
      <c r="J154" s="1" t="s">
        <v>40</v>
      </c>
      <c r="K154" s="1" t="s">
        <v>41</v>
      </c>
      <c r="L154" s="1" t="s">
        <v>21</v>
      </c>
    </row>
    <row r="155" spans="1:12" x14ac:dyDescent="0.25">
      <c r="A155" s="1" t="s">
        <v>581</v>
      </c>
      <c r="B155" s="1" t="s">
        <v>33</v>
      </c>
      <c r="C155" s="1" t="s">
        <v>34</v>
      </c>
      <c r="D155" s="1" t="s">
        <v>186</v>
      </c>
      <c r="E155" s="1" t="s">
        <v>80</v>
      </c>
      <c r="F155" s="1" t="s">
        <v>187</v>
      </c>
      <c r="G155" s="1" t="s">
        <v>38</v>
      </c>
      <c r="H155" s="1" t="s">
        <v>29</v>
      </c>
      <c r="I155" s="1" t="s">
        <v>39</v>
      </c>
      <c r="J155" s="1" t="s">
        <v>40</v>
      </c>
      <c r="K155" s="1" t="s">
        <v>41</v>
      </c>
      <c r="L155" s="1" t="s">
        <v>21</v>
      </c>
    </row>
    <row r="156" spans="1:12" x14ac:dyDescent="0.25">
      <c r="A156" s="1" t="s">
        <v>582</v>
      </c>
      <c r="B156" s="1" t="s">
        <v>583</v>
      </c>
      <c r="C156" s="1" t="s">
        <v>584</v>
      </c>
      <c r="D156" s="1" t="s">
        <v>25</v>
      </c>
      <c r="E156" s="1" t="s">
        <v>158</v>
      </c>
      <c r="F156" s="1" t="s">
        <v>116</v>
      </c>
      <c r="G156" s="1" t="s">
        <v>61</v>
      </c>
      <c r="H156" s="1" t="s">
        <v>29</v>
      </c>
      <c r="I156" s="1" t="s">
        <v>54</v>
      </c>
      <c r="J156" s="1" t="s">
        <v>30</v>
      </c>
      <c r="K156" s="1" t="s">
        <v>111</v>
      </c>
      <c r="L156" s="1" t="s">
        <v>21</v>
      </c>
    </row>
    <row r="157" spans="1:12" x14ac:dyDescent="0.25">
      <c r="A157" s="1" t="s">
        <v>585</v>
      </c>
      <c r="B157" s="1" t="s">
        <v>586</v>
      </c>
      <c r="C157" s="1" t="s">
        <v>587</v>
      </c>
      <c r="D157" s="1" t="s">
        <v>588</v>
      </c>
      <c r="E157" s="1" t="s">
        <v>246</v>
      </c>
      <c r="F157" s="1" t="s">
        <v>589</v>
      </c>
      <c r="G157" s="1" t="s">
        <v>590</v>
      </c>
      <c r="H157" s="1" t="s">
        <v>29</v>
      </c>
      <c r="I157" s="1" t="s">
        <v>106</v>
      </c>
      <c r="J157" s="1" t="s">
        <v>30</v>
      </c>
      <c r="K157" s="1" t="s">
        <v>591</v>
      </c>
      <c r="L157" s="1" t="s">
        <v>21</v>
      </c>
    </row>
    <row r="158" spans="1:12" x14ac:dyDescent="0.25">
      <c r="A158" s="1" t="s">
        <v>592</v>
      </c>
      <c r="B158" s="1" t="s">
        <v>593</v>
      </c>
      <c r="C158" s="1" t="s">
        <v>594</v>
      </c>
      <c r="D158" s="1" t="s">
        <v>13</v>
      </c>
      <c r="E158" s="1" t="s">
        <v>52</v>
      </c>
      <c r="F158" s="1" t="s">
        <v>595</v>
      </c>
      <c r="G158" s="1" t="s">
        <v>413</v>
      </c>
      <c r="H158" s="1" t="s">
        <v>29</v>
      </c>
      <c r="I158" s="1" t="s">
        <v>83</v>
      </c>
      <c r="J158" s="1" t="s">
        <v>30</v>
      </c>
      <c r="K158" s="1" t="s">
        <v>596</v>
      </c>
      <c r="L158" s="1" t="s">
        <v>21</v>
      </c>
    </row>
    <row r="159" spans="1:12" x14ac:dyDescent="0.25">
      <c r="A159" s="1" t="s">
        <v>597</v>
      </c>
      <c r="B159" s="1" t="s">
        <v>598</v>
      </c>
      <c r="C159" s="1" t="s">
        <v>599</v>
      </c>
      <c r="D159" s="1" t="s">
        <v>157</v>
      </c>
      <c r="E159" s="1" t="s">
        <v>158</v>
      </c>
      <c r="F159" s="1" t="s">
        <v>159</v>
      </c>
      <c r="G159" s="1" t="s">
        <v>160</v>
      </c>
      <c r="H159" s="1" t="s">
        <v>29</v>
      </c>
      <c r="I159" s="1" t="s">
        <v>141</v>
      </c>
      <c r="J159" s="1" t="s">
        <v>30</v>
      </c>
      <c r="K159" s="1" t="s">
        <v>88</v>
      </c>
      <c r="L159" s="1" t="s">
        <v>21</v>
      </c>
    </row>
    <row r="160" spans="1:12" x14ac:dyDescent="0.25">
      <c r="A160" s="1" t="s">
        <v>600</v>
      </c>
      <c r="B160" s="1" t="s">
        <v>78</v>
      </c>
      <c r="C160" s="1" t="s">
        <v>79</v>
      </c>
      <c r="D160" s="1" t="s">
        <v>178</v>
      </c>
      <c r="E160" s="1" t="s">
        <v>210</v>
      </c>
      <c r="F160" s="1" t="s">
        <v>211</v>
      </c>
      <c r="G160" s="1" t="s">
        <v>212</v>
      </c>
      <c r="H160" s="1" t="s">
        <v>29</v>
      </c>
      <c r="I160" s="1" t="s">
        <v>83</v>
      </c>
      <c r="J160" s="1" t="s">
        <v>40</v>
      </c>
      <c r="K160" s="1" t="s">
        <v>41</v>
      </c>
      <c r="L160" s="1" t="s">
        <v>21</v>
      </c>
    </row>
    <row r="161" spans="1:12" x14ac:dyDescent="0.25">
      <c r="A161" s="1" t="s">
        <v>601</v>
      </c>
      <c r="B161" s="1" t="s">
        <v>78</v>
      </c>
      <c r="C161" s="1" t="s">
        <v>214</v>
      </c>
      <c r="D161" s="1" t="s">
        <v>45</v>
      </c>
      <c r="E161" s="1" t="s">
        <v>215</v>
      </c>
      <c r="F161" s="1" t="s">
        <v>216</v>
      </c>
      <c r="G161" s="1" t="s">
        <v>82</v>
      </c>
      <c r="H161" s="1" t="s">
        <v>29</v>
      </c>
      <c r="I161" s="1" t="s">
        <v>83</v>
      </c>
      <c r="J161" s="1" t="s">
        <v>40</v>
      </c>
      <c r="K161" s="1" t="s">
        <v>41</v>
      </c>
      <c r="L161" s="1" t="s">
        <v>21</v>
      </c>
    </row>
    <row r="162" spans="1:12" x14ac:dyDescent="0.25">
      <c r="A162" s="1" t="s">
        <v>602</v>
      </c>
      <c r="B162" s="1" t="s">
        <v>603</v>
      </c>
      <c r="C162" s="1" t="s">
        <v>604</v>
      </c>
      <c r="D162" s="1" t="s">
        <v>605</v>
      </c>
      <c r="E162" s="1" t="s">
        <v>237</v>
      </c>
      <c r="F162" s="1" t="s">
        <v>589</v>
      </c>
      <c r="G162" s="1" t="s">
        <v>16</v>
      </c>
      <c r="H162" s="1" t="s">
        <v>29</v>
      </c>
      <c r="I162" s="1" t="s">
        <v>141</v>
      </c>
      <c r="J162" s="1" t="s">
        <v>168</v>
      </c>
      <c r="K162" s="1" t="s">
        <v>477</v>
      </c>
      <c r="L162" s="1" t="s">
        <v>21</v>
      </c>
    </row>
    <row r="163" spans="1:12" x14ac:dyDescent="0.25">
      <c r="A163" s="1" t="s">
        <v>606</v>
      </c>
      <c r="B163" s="1" t="s">
        <v>607</v>
      </c>
      <c r="C163" s="1" t="s">
        <v>608</v>
      </c>
      <c r="D163" s="1" t="s">
        <v>609</v>
      </c>
      <c r="E163" s="1" t="s">
        <v>400</v>
      </c>
      <c r="F163" s="1" t="s">
        <v>364</v>
      </c>
      <c r="G163" s="1" t="s">
        <v>160</v>
      </c>
      <c r="H163" s="1" t="s">
        <v>29</v>
      </c>
      <c r="I163" s="1" t="s">
        <v>54</v>
      </c>
      <c r="J163" s="1" t="s">
        <v>19</v>
      </c>
      <c r="K163" s="1" t="s">
        <v>55</v>
      </c>
      <c r="L163" s="1" t="s">
        <v>21</v>
      </c>
    </row>
    <row r="164" spans="1:12" x14ac:dyDescent="0.25">
      <c r="A164" s="1" t="s">
        <v>610</v>
      </c>
      <c r="B164" s="1" t="s">
        <v>33</v>
      </c>
      <c r="C164" s="1" t="s">
        <v>34</v>
      </c>
      <c r="D164" s="1" t="s">
        <v>35</v>
      </c>
      <c r="E164" s="1" t="s">
        <v>36</v>
      </c>
      <c r="F164" s="1" t="s">
        <v>37</v>
      </c>
      <c r="G164" s="1" t="s">
        <v>38</v>
      </c>
      <c r="H164" s="1" t="s">
        <v>29</v>
      </c>
      <c r="I164" s="1" t="s">
        <v>39</v>
      </c>
      <c r="J164" s="1" t="s">
        <v>40</v>
      </c>
      <c r="K164" s="1" t="s">
        <v>41</v>
      </c>
      <c r="L164" s="1" t="s">
        <v>21</v>
      </c>
    </row>
    <row r="165" spans="1:12" x14ac:dyDescent="0.25">
      <c r="A165" s="1" t="s">
        <v>611</v>
      </c>
      <c r="B165" s="1" t="s">
        <v>43</v>
      </c>
      <c r="C165" s="1" t="s">
        <v>44</v>
      </c>
      <c r="D165" s="1" t="s">
        <v>35</v>
      </c>
      <c r="E165" s="1" t="s">
        <v>45</v>
      </c>
      <c r="F165" s="1" t="s">
        <v>46</v>
      </c>
      <c r="G165" s="1" t="s">
        <v>47</v>
      </c>
      <c r="H165" s="1" t="s">
        <v>29</v>
      </c>
      <c r="I165" s="1" t="s">
        <v>39</v>
      </c>
      <c r="J165" s="1" t="s">
        <v>40</v>
      </c>
      <c r="K165" s="1" t="s">
        <v>41</v>
      </c>
      <c r="L165" s="1" t="s">
        <v>21</v>
      </c>
    </row>
    <row r="166" spans="1:12" x14ac:dyDescent="0.25">
      <c r="A166" s="1" t="s">
        <v>612</v>
      </c>
      <c r="B166" s="1" t="s">
        <v>613</v>
      </c>
      <c r="C166" s="1" t="s">
        <v>614</v>
      </c>
      <c r="D166" s="1" t="s">
        <v>51</v>
      </c>
      <c r="E166" s="1" t="s">
        <v>109</v>
      </c>
      <c r="F166" s="1" t="s">
        <v>220</v>
      </c>
      <c r="G166" s="1" t="s">
        <v>459</v>
      </c>
      <c r="H166" s="1" t="s">
        <v>29</v>
      </c>
      <c r="I166" s="1" t="s">
        <v>141</v>
      </c>
      <c r="J166" s="1" t="s">
        <v>19</v>
      </c>
      <c r="K166" s="1" t="s">
        <v>55</v>
      </c>
      <c r="L166" s="1" t="s">
        <v>21</v>
      </c>
    </row>
    <row r="167" spans="1:12" x14ac:dyDescent="0.25">
      <c r="A167" s="1" t="s">
        <v>615</v>
      </c>
      <c r="B167" s="1" t="s">
        <v>616</v>
      </c>
      <c r="C167" s="1" t="s">
        <v>617</v>
      </c>
      <c r="D167" s="1" t="s">
        <v>51</v>
      </c>
      <c r="E167" s="1" t="s">
        <v>232</v>
      </c>
      <c r="F167" s="1" t="s">
        <v>618</v>
      </c>
      <c r="G167" s="1" t="s">
        <v>160</v>
      </c>
      <c r="H167" s="1" t="s">
        <v>29</v>
      </c>
      <c r="I167" s="1" t="s">
        <v>141</v>
      </c>
      <c r="J167" s="1" t="s">
        <v>19</v>
      </c>
      <c r="K167" s="1" t="s">
        <v>619</v>
      </c>
      <c r="L167" s="1" t="s">
        <v>21</v>
      </c>
    </row>
    <row r="168" spans="1:12" x14ac:dyDescent="0.25">
      <c r="A168" s="1" t="s">
        <v>620</v>
      </c>
      <c r="B168" s="1" t="s">
        <v>621</v>
      </c>
      <c r="C168" s="1" t="s">
        <v>622</v>
      </c>
      <c r="D168" s="1" t="s">
        <v>157</v>
      </c>
      <c r="E168" s="1" t="s">
        <v>352</v>
      </c>
      <c r="F168" s="1" t="s">
        <v>128</v>
      </c>
      <c r="G168" s="1" t="s">
        <v>590</v>
      </c>
      <c r="H168" s="1" t="s">
        <v>29</v>
      </c>
      <c r="I168" s="1" t="s">
        <v>54</v>
      </c>
      <c r="J168" s="1" t="s">
        <v>19</v>
      </c>
      <c r="K168" s="1" t="s">
        <v>88</v>
      </c>
      <c r="L168" s="1" t="s">
        <v>21</v>
      </c>
    </row>
    <row r="169" spans="1:12" x14ac:dyDescent="0.25">
      <c r="A169" s="1" t="s">
        <v>623</v>
      </c>
      <c r="B169" s="1" t="s">
        <v>624</v>
      </c>
      <c r="C169" s="1" t="s">
        <v>625</v>
      </c>
      <c r="D169" s="1" t="s">
        <v>588</v>
      </c>
      <c r="E169" s="1" t="s">
        <v>277</v>
      </c>
      <c r="F169" s="1" t="s">
        <v>60</v>
      </c>
      <c r="G169" s="1" t="s">
        <v>99</v>
      </c>
      <c r="H169" s="1" t="s">
        <v>17</v>
      </c>
      <c r="I169" s="1" t="s">
        <v>141</v>
      </c>
      <c r="J169" s="1" t="s">
        <v>30</v>
      </c>
      <c r="K169" s="1" t="s">
        <v>88</v>
      </c>
      <c r="L169" s="1" t="s">
        <v>21</v>
      </c>
    </row>
    <row r="170" spans="1:12" x14ac:dyDescent="0.25">
      <c r="A170" s="1" t="s">
        <v>626</v>
      </c>
      <c r="B170" s="1" t="s">
        <v>33</v>
      </c>
      <c r="C170" s="1" t="s">
        <v>34</v>
      </c>
      <c r="D170" s="1" t="s">
        <v>35</v>
      </c>
      <c r="E170" s="1" t="s">
        <v>36</v>
      </c>
      <c r="F170" s="1" t="s">
        <v>37</v>
      </c>
      <c r="G170" s="1" t="s">
        <v>38</v>
      </c>
      <c r="H170" s="1" t="s">
        <v>29</v>
      </c>
      <c r="I170" s="1" t="s">
        <v>39</v>
      </c>
      <c r="J170" s="1" t="s">
        <v>40</v>
      </c>
      <c r="K170" s="1" t="s">
        <v>41</v>
      </c>
      <c r="L170" s="1" t="s">
        <v>21</v>
      </c>
    </row>
    <row r="171" spans="1:12" x14ac:dyDescent="0.25">
      <c r="A171" s="1" t="s">
        <v>627</v>
      </c>
      <c r="B171" s="1" t="s">
        <v>78</v>
      </c>
      <c r="C171" s="1" t="s">
        <v>79</v>
      </c>
      <c r="D171" s="1" t="s">
        <v>51</v>
      </c>
      <c r="E171" s="1" t="s">
        <v>80</v>
      </c>
      <c r="F171" s="1" t="s">
        <v>81</v>
      </c>
      <c r="G171" s="1" t="s">
        <v>82</v>
      </c>
      <c r="H171" s="1" t="s">
        <v>29</v>
      </c>
      <c r="I171" s="1" t="s">
        <v>83</v>
      </c>
      <c r="J171" s="1" t="s">
        <v>40</v>
      </c>
      <c r="K171" s="1" t="s">
        <v>41</v>
      </c>
      <c r="L171" s="1" t="s">
        <v>21</v>
      </c>
    </row>
    <row r="172" spans="1:12" x14ac:dyDescent="0.25">
      <c r="A172" s="1" t="s">
        <v>628</v>
      </c>
      <c r="B172" s="1" t="s">
        <v>629</v>
      </c>
      <c r="C172" s="1" t="s">
        <v>630</v>
      </c>
      <c r="D172" s="1" t="s">
        <v>51</v>
      </c>
      <c r="E172" s="1" t="s">
        <v>256</v>
      </c>
      <c r="F172" s="1" t="s">
        <v>257</v>
      </c>
      <c r="G172" s="1" t="s">
        <v>160</v>
      </c>
      <c r="H172" s="1" t="s">
        <v>17</v>
      </c>
      <c r="I172" s="1" t="s">
        <v>141</v>
      </c>
      <c r="J172" s="1" t="s">
        <v>168</v>
      </c>
      <c r="K172" s="1" t="s">
        <v>88</v>
      </c>
      <c r="L172" s="1" t="s">
        <v>21</v>
      </c>
    </row>
    <row r="173" spans="1:12" x14ac:dyDescent="0.25">
      <c r="A173" s="1" t="s">
        <v>631</v>
      </c>
      <c r="B173" s="1" t="s">
        <v>632</v>
      </c>
      <c r="C173" s="1" t="s">
        <v>633</v>
      </c>
      <c r="D173" s="1" t="s">
        <v>634</v>
      </c>
      <c r="E173" s="1" t="s">
        <v>635</v>
      </c>
      <c r="F173" s="1" t="s">
        <v>187</v>
      </c>
      <c r="G173" s="1" t="s">
        <v>99</v>
      </c>
      <c r="H173" s="1" t="s">
        <v>29</v>
      </c>
      <c r="I173" s="1" t="s">
        <v>54</v>
      </c>
      <c r="J173" s="1" t="s">
        <v>19</v>
      </c>
      <c r="K173" s="1" t="s">
        <v>88</v>
      </c>
      <c r="L173" s="1" t="s">
        <v>21</v>
      </c>
    </row>
    <row r="174" spans="1:12" x14ac:dyDescent="0.25">
      <c r="A174" s="1" t="s">
        <v>636</v>
      </c>
      <c r="B174" s="1" t="s">
        <v>78</v>
      </c>
      <c r="C174" s="1" t="s">
        <v>79</v>
      </c>
      <c r="D174" s="1" t="s">
        <v>96</v>
      </c>
      <c r="E174" s="1" t="s">
        <v>97</v>
      </c>
      <c r="F174" s="1" t="s">
        <v>98</v>
      </c>
      <c r="G174" s="1" t="s">
        <v>99</v>
      </c>
      <c r="H174" s="1" t="s">
        <v>29</v>
      </c>
      <c r="I174" s="1" t="s">
        <v>83</v>
      </c>
      <c r="J174" s="1" t="s">
        <v>40</v>
      </c>
      <c r="K174" s="1" t="s">
        <v>41</v>
      </c>
      <c r="L174" s="1" t="s">
        <v>21</v>
      </c>
    </row>
    <row r="175" spans="1:12" x14ac:dyDescent="0.25">
      <c r="A175" s="1" t="s">
        <v>637</v>
      </c>
      <c r="B175" s="1" t="s">
        <v>101</v>
      </c>
      <c r="C175" s="1" t="s">
        <v>102</v>
      </c>
      <c r="D175" s="1" t="s">
        <v>103</v>
      </c>
      <c r="E175" s="1" t="s">
        <v>104</v>
      </c>
      <c r="F175" s="1" t="s">
        <v>105</v>
      </c>
      <c r="G175" s="1" t="s">
        <v>47</v>
      </c>
      <c r="H175" s="1" t="s">
        <v>29</v>
      </c>
      <c r="I175" s="1" t="s">
        <v>106</v>
      </c>
      <c r="J175" s="1" t="s">
        <v>40</v>
      </c>
      <c r="K175" s="1" t="s">
        <v>41</v>
      </c>
      <c r="L175" s="1" t="s">
        <v>21</v>
      </c>
    </row>
    <row r="176" spans="1:12" x14ac:dyDescent="0.25">
      <c r="A176" s="1" t="s">
        <v>638</v>
      </c>
      <c r="B176" s="1" t="s">
        <v>639</v>
      </c>
      <c r="C176" s="1" t="s">
        <v>640</v>
      </c>
      <c r="D176" s="1" t="s">
        <v>641</v>
      </c>
      <c r="E176" s="1" t="s">
        <v>52</v>
      </c>
      <c r="F176" s="1" t="s">
        <v>364</v>
      </c>
      <c r="G176" s="1" t="s">
        <v>642</v>
      </c>
      <c r="H176" s="1" t="s">
        <v>17</v>
      </c>
      <c r="I176" s="1" t="s">
        <v>141</v>
      </c>
      <c r="J176" s="1" t="s">
        <v>19</v>
      </c>
      <c r="K176" s="1" t="s">
        <v>55</v>
      </c>
      <c r="L176" s="1" t="s">
        <v>21</v>
      </c>
    </row>
    <row r="177" spans="1:12" x14ac:dyDescent="0.25">
      <c r="A177" s="1" t="s">
        <v>643</v>
      </c>
      <c r="B177" s="1" t="s">
        <v>644</v>
      </c>
      <c r="C177" s="1" t="s">
        <v>645</v>
      </c>
      <c r="D177" s="1" t="s">
        <v>51</v>
      </c>
      <c r="E177" s="1" t="s">
        <v>483</v>
      </c>
      <c r="F177" s="1" t="s">
        <v>405</v>
      </c>
      <c r="G177" s="1" t="s">
        <v>646</v>
      </c>
      <c r="H177" s="1" t="s">
        <v>17</v>
      </c>
      <c r="I177" s="1" t="s">
        <v>54</v>
      </c>
      <c r="J177" s="1" t="s">
        <v>30</v>
      </c>
      <c r="K177" s="1" t="s">
        <v>338</v>
      </c>
      <c r="L177" s="1" t="s">
        <v>21</v>
      </c>
    </row>
    <row r="178" spans="1:12" x14ac:dyDescent="0.25">
      <c r="A178" s="1" t="s">
        <v>647</v>
      </c>
      <c r="B178" s="1" t="s">
        <v>648</v>
      </c>
      <c r="C178" s="1" t="s">
        <v>649</v>
      </c>
      <c r="D178" s="1" t="s">
        <v>650</v>
      </c>
      <c r="E178" s="1" t="s">
        <v>651</v>
      </c>
      <c r="F178" s="1" t="s">
        <v>652</v>
      </c>
      <c r="G178" s="1" t="s">
        <v>337</v>
      </c>
      <c r="H178" s="1" t="s">
        <v>29</v>
      </c>
      <c r="I178" s="1" t="s">
        <v>354</v>
      </c>
      <c r="J178" s="1" t="s">
        <v>30</v>
      </c>
      <c r="K178" s="1" t="s">
        <v>504</v>
      </c>
      <c r="L178" s="1" t="s">
        <v>21</v>
      </c>
    </row>
    <row r="179" spans="1:12" x14ac:dyDescent="0.25">
      <c r="A179" s="1" t="s">
        <v>653</v>
      </c>
      <c r="B179" s="1" t="s">
        <v>654</v>
      </c>
      <c r="C179" s="1" t="s">
        <v>655</v>
      </c>
      <c r="D179" s="1" t="s">
        <v>157</v>
      </c>
      <c r="E179" s="1" t="s">
        <v>352</v>
      </c>
      <c r="F179" s="1" t="s">
        <v>128</v>
      </c>
      <c r="G179" s="1" t="s">
        <v>551</v>
      </c>
      <c r="H179" s="1" t="s">
        <v>29</v>
      </c>
      <c r="I179" s="1" t="s">
        <v>54</v>
      </c>
      <c r="J179" s="1" t="s">
        <v>40</v>
      </c>
      <c r="K179" s="1" t="s">
        <v>525</v>
      </c>
      <c r="L179" s="1" t="s">
        <v>21</v>
      </c>
    </row>
    <row r="180" spans="1:12" x14ac:dyDescent="0.25">
      <c r="A180" s="1" t="s">
        <v>656</v>
      </c>
      <c r="B180" s="1" t="s">
        <v>43</v>
      </c>
      <c r="C180" s="1" t="s">
        <v>44</v>
      </c>
      <c r="D180" s="1" t="s">
        <v>35</v>
      </c>
      <c r="E180" s="1" t="s">
        <v>45</v>
      </c>
      <c r="F180" s="1" t="s">
        <v>46</v>
      </c>
      <c r="G180" s="1" t="s">
        <v>47</v>
      </c>
      <c r="H180" s="1" t="s">
        <v>29</v>
      </c>
      <c r="I180" s="1" t="s">
        <v>39</v>
      </c>
      <c r="J180" s="1" t="s">
        <v>40</v>
      </c>
      <c r="K180" s="1" t="s">
        <v>41</v>
      </c>
      <c r="L180" s="1" t="s">
        <v>21</v>
      </c>
    </row>
    <row r="181" spans="1:12" x14ac:dyDescent="0.25">
      <c r="A181" s="1" t="s">
        <v>657</v>
      </c>
      <c r="B181" s="1" t="s">
        <v>43</v>
      </c>
      <c r="C181" s="1" t="s">
        <v>44</v>
      </c>
      <c r="D181" s="1" t="s">
        <v>35</v>
      </c>
      <c r="E181" s="1" t="s">
        <v>45</v>
      </c>
      <c r="F181" s="1" t="s">
        <v>46</v>
      </c>
      <c r="G181" s="1" t="s">
        <v>47</v>
      </c>
      <c r="H181" s="1" t="s">
        <v>29</v>
      </c>
      <c r="I181" s="1" t="s">
        <v>39</v>
      </c>
      <c r="J181" s="1" t="s">
        <v>40</v>
      </c>
      <c r="K181" s="1" t="s">
        <v>41</v>
      </c>
      <c r="L181" s="1" t="s">
        <v>21</v>
      </c>
    </row>
    <row r="182" spans="1:12" x14ac:dyDescent="0.25">
      <c r="A182" s="1" t="s">
        <v>658</v>
      </c>
      <c r="B182" s="1" t="s">
        <v>659</v>
      </c>
      <c r="C182" s="1" t="s">
        <v>660</v>
      </c>
      <c r="D182" s="1" t="s">
        <v>51</v>
      </c>
      <c r="E182" s="1" t="s">
        <v>179</v>
      </c>
      <c r="F182" s="1" t="s">
        <v>180</v>
      </c>
      <c r="G182" s="1" t="s">
        <v>16</v>
      </c>
      <c r="H182" s="1" t="s">
        <v>29</v>
      </c>
      <c r="I182" s="1" t="s">
        <v>360</v>
      </c>
      <c r="J182" s="1" t="s">
        <v>19</v>
      </c>
      <c r="K182" s="1" t="s">
        <v>55</v>
      </c>
      <c r="L182" s="1" t="s">
        <v>21</v>
      </c>
    </row>
    <row r="183" spans="1:12" x14ac:dyDescent="0.25">
      <c r="A183" s="1" t="s">
        <v>661</v>
      </c>
      <c r="B183" s="1" t="s">
        <v>662</v>
      </c>
      <c r="C183" s="1" t="s">
        <v>663</v>
      </c>
      <c r="D183" s="1" t="s">
        <v>51</v>
      </c>
      <c r="E183" s="1" t="s">
        <v>664</v>
      </c>
      <c r="F183" s="1" t="s">
        <v>447</v>
      </c>
      <c r="G183" s="1" t="s">
        <v>413</v>
      </c>
      <c r="H183" s="1" t="s">
        <v>17</v>
      </c>
      <c r="I183" s="1" t="s">
        <v>117</v>
      </c>
      <c r="J183" s="1" t="s">
        <v>30</v>
      </c>
      <c r="K183" s="1" t="s">
        <v>338</v>
      </c>
      <c r="L183" s="1" t="s">
        <v>21</v>
      </c>
    </row>
    <row r="184" spans="1:12" x14ac:dyDescent="0.25">
      <c r="A184" s="1" t="s">
        <v>665</v>
      </c>
      <c r="B184" s="1" t="s">
        <v>78</v>
      </c>
      <c r="C184" s="1" t="s">
        <v>79</v>
      </c>
      <c r="D184" s="1" t="s">
        <v>51</v>
      </c>
      <c r="E184" s="1" t="s">
        <v>143</v>
      </c>
      <c r="F184" s="1" t="s">
        <v>144</v>
      </c>
      <c r="G184" s="1" t="s">
        <v>47</v>
      </c>
      <c r="H184" s="1" t="s">
        <v>29</v>
      </c>
      <c r="I184" s="1" t="s">
        <v>83</v>
      </c>
      <c r="J184" s="1" t="s">
        <v>40</v>
      </c>
      <c r="K184" s="1" t="s">
        <v>41</v>
      </c>
      <c r="L184" s="1" t="s">
        <v>21</v>
      </c>
    </row>
    <row r="185" spans="1:12" x14ac:dyDescent="0.25">
      <c r="A185" s="1" t="s">
        <v>666</v>
      </c>
      <c r="B185" s="1" t="s">
        <v>33</v>
      </c>
      <c r="C185" s="1" t="s">
        <v>34</v>
      </c>
      <c r="D185" s="1" t="s">
        <v>35</v>
      </c>
      <c r="E185" s="1" t="s">
        <v>146</v>
      </c>
      <c r="F185" s="1" t="s">
        <v>147</v>
      </c>
      <c r="G185" s="1" t="s">
        <v>38</v>
      </c>
      <c r="H185" s="1" t="s">
        <v>29</v>
      </c>
      <c r="I185" s="1" t="s">
        <v>39</v>
      </c>
      <c r="J185" s="1" t="s">
        <v>40</v>
      </c>
      <c r="K185" s="1" t="s">
        <v>41</v>
      </c>
      <c r="L185" s="1" t="s">
        <v>21</v>
      </c>
    </row>
    <row r="186" spans="1:12" x14ac:dyDescent="0.25">
      <c r="A186" s="1" t="s">
        <v>667</v>
      </c>
      <c r="B186" s="1" t="s">
        <v>668</v>
      </c>
      <c r="C186" s="1" t="s">
        <v>669</v>
      </c>
      <c r="D186" s="1" t="s">
        <v>51</v>
      </c>
      <c r="E186" s="1" t="s">
        <v>670</v>
      </c>
      <c r="F186" s="1" t="s">
        <v>671</v>
      </c>
      <c r="G186" s="1" t="s">
        <v>551</v>
      </c>
      <c r="H186" s="1" t="s">
        <v>29</v>
      </c>
      <c r="I186" s="1" t="s">
        <v>106</v>
      </c>
      <c r="J186" s="1" t="s">
        <v>40</v>
      </c>
      <c r="K186" s="1" t="s">
        <v>41</v>
      </c>
      <c r="L186" s="1" t="s">
        <v>21</v>
      </c>
    </row>
    <row r="187" spans="1:12" x14ac:dyDescent="0.25">
      <c r="A187" s="1" t="s">
        <v>672</v>
      </c>
      <c r="B187" s="1" t="s">
        <v>673</v>
      </c>
      <c r="C187" s="1" t="s">
        <v>674</v>
      </c>
      <c r="D187" s="1" t="s">
        <v>675</v>
      </c>
      <c r="E187" s="1" t="s">
        <v>352</v>
      </c>
      <c r="F187" s="1" t="s">
        <v>359</v>
      </c>
      <c r="G187" s="1" t="s">
        <v>47</v>
      </c>
      <c r="H187" s="1" t="s">
        <v>29</v>
      </c>
      <c r="I187" s="1" t="s">
        <v>39</v>
      </c>
      <c r="J187" s="1" t="s">
        <v>19</v>
      </c>
      <c r="K187" s="1" t="s">
        <v>55</v>
      </c>
      <c r="L187" s="1" t="s">
        <v>21</v>
      </c>
    </row>
    <row r="188" spans="1:12" x14ac:dyDescent="0.25">
      <c r="A188" s="1" t="s">
        <v>676</v>
      </c>
      <c r="B188" s="1" t="s">
        <v>677</v>
      </c>
      <c r="C188" s="1" t="s">
        <v>678</v>
      </c>
      <c r="D188" s="1" t="s">
        <v>679</v>
      </c>
      <c r="E188" s="1" t="s">
        <v>352</v>
      </c>
      <c r="F188" s="1" t="s">
        <v>465</v>
      </c>
      <c r="G188" s="1" t="s">
        <v>459</v>
      </c>
      <c r="H188" s="1" t="s">
        <v>29</v>
      </c>
      <c r="I188" s="1" t="s">
        <v>360</v>
      </c>
      <c r="J188" s="1" t="s">
        <v>30</v>
      </c>
      <c r="K188" s="1" t="s">
        <v>680</v>
      </c>
      <c r="L188" s="1" t="s">
        <v>21</v>
      </c>
    </row>
    <row r="189" spans="1:12" x14ac:dyDescent="0.25">
      <c r="A189" s="1" t="s">
        <v>681</v>
      </c>
      <c r="B189" s="1" t="s">
        <v>682</v>
      </c>
      <c r="C189" s="1" t="s">
        <v>683</v>
      </c>
      <c r="D189" s="1" t="s">
        <v>684</v>
      </c>
      <c r="E189" s="1" t="s">
        <v>685</v>
      </c>
      <c r="F189" s="1" t="s">
        <v>200</v>
      </c>
      <c r="G189" s="1" t="s">
        <v>413</v>
      </c>
      <c r="H189" s="1" t="s">
        <v>17</v>
      </c>
      <c r="I189" s="1" t="s">
        <v>141</v>
      </c>
      <c r="J189" s="1" t="s">
        <v>19</v>
      </c>
      <c r="K189" s="1" t="s">
        <v>686</v>
      </c>
      <c r="L189" s="1" t="s">
        <v>21</v>
      </c>
    </row>
    <row r="190" spans="1:12" x14ac:dyDescent="0.25">
      <c r="A190" s="1" t="s">
        <v>687</v>
      </c>
      <c r="B190" s="1" t="s">
        <v>78</v>
      </c>
      <c r="C190" s="1" t="s">
        <v>79</v>
      </c>
      <c r="D190" s="1" t="s">
        <v>35</v>
      </c>
      <c r="E190" s="1" t="s">
        <v>80</v>
      </c>
      <c r="F190" s="1" t="s">
        <v>171</v>
      </c>
      <c r="G190" s="1" t="s">
        <v>82</v>
      </c>
      <c r="H190" s="1" t="s">
        <v>29</v>
      </c>
      <c r="I190" s="1" t="s">
        <v>83</v>
      </c>
      <c r="J190" s="1" t="s">
        <v>40</v>
      </c>
      <c r="K190" s="1" t="s">
        <v>41</v>
      </c>
      <c r="L190" s="1" t="s">
        <v>21</v>
      </c>
    </row>
    <row r="191" spans="1:12" x14ac:dyDescent="0.25">
      <c r="A191" s="1" t="s">
        <v>688</v>
      </c>
      <c r="B191" s="1" t="s">
        <v>78</v>
      </c>
      <c r="C191" s="1" t="s">
        <v>79</v>
      </c>
      <c r="D191" s="1" t="s">
        <v>51</v>
      </c>
      <c r="E191" s="1" t="s">
        <v>173</v>
      </c>
      <c r="F191" s="1" t="s">
        <v>37</v>
      </c>
      <c r="G191" s="1" t="s">
        <v>174</v>
      </c>
      <c r="H191" s="1" t="s">
        <v>29</v>
      </c>
      <c r="I191" s="1" t="s">
        <v>83</v>
      </c>
      <c r="J191" s="1" t="s">
        <v>40</v>
      </c>
      <c r="K191" s="1" t="s">
        <v>41</v>
      </c>
      <c r="L191" s="1" t="s">
        <v>21</v>
      </c>
    </row>
    <row r="192" spans="1:12" x14ac:dyDescent="0.25">
      <c r="A192" s="1" t="s">
        <v>689</v>
      </c>
      <c r="B192" s="1" t="s">
        <v>690</v>
      </c>
      <c r="C192" s="1" t="s">
        <v>691</v>
      </c>
      <c r="D192" s="1" t="s">
        <v>13</v>
      </c>
      <c r="E192" s="1" t="s">
        <v>59</v>
      </c>
      <c r="F192" s="1" t="s">
        <v>476</v>
      </c>
      <c r="G192" s="1" t="s">
        <v>16</v>
      </c>
      <c r="H192" s="1" t="s">
        <v>17</v>
      </c>
      <c r="I192" s="1" t="s">
        <v>141</v>
      </c>
      <c r="J192" s="1" t="s">
        <v>168</v>
      </c>
      <c r="K192" s="1" t="s">
        <v>477</v>
      </c>
      <c r="L192" s="1" t="s">
        <v>21</v>
      </c>
    </row>
    <row r="193" spans="1:12" x14ac:dyDescent="0.25">
      <c r="A193" s="1" t="s">
        <v>692</v>
      </c>
      <c r="B193" s="1" t="s">
        <v>693</v>
      </c>
      <c r="C193" s="1" t="s">
        <v>694</v>
      </c>
      <c r="D193" s="1" t="s">
        <v>417</v>
      </c>
      <c r="E193" s="1" t="s">
        <v>695</v>
      </c>
      <c r="F193" s="1" t="s">
        <v>405</v>
      </c>
      <c r="G193" s="1" t="s">
        <v>16</v>
      </c>
      <c r="H193" s="1" t="s">
        <v>17</v>
      </c>
      <c r="I193" s="1" t="s">
        <v>141</v>
      </c>
      <c r="J193" s="1" t="s">
        <v>30</v>
      </c>
      <c r="K193" s="1" t="s">
        <v>258</v>
      </c>
      <c r="L193" s="1" t="s">
        <v>21</v>
      </c>
    </row>
    <row r="194" spans="1:12" x14ac:dyDescent="0.25">
      <c r="A194" s="1" t="s">
        <v>696</v>
      </c>
      <c r="B194" s="1" t="s">
        <v>78</v>
      </c>
      <c r="C194" s="1" t="s">
        <v>79</v>
      </c>
      <c r="D194" s="1" t="s">
        <v>51</v>
      </c>
      <c r="E194" s="1" t="s">
        <v>80</v>
      </c>
      <c r="F194" s="1" t="s">
        <v>81</v>
      </c>
      <c r="G194" s="1" t="s">
        <v>82</v>
      </c>
      <c r="H194" s="1" t="s">
        <v>29</v>
      </c>
      <c r="I194" s="1" t="s">
        <v>83</v>
      </c>
      <c r="J194" s="1" t="s">
        <v>40</v>
      </c>
      <c r="K194" s="1" t="s">
        <v>41</v>
      </c>
      <c r="L194" s="1" t="s">
        <v>21</v>
      </c>
    </row>
    <row r="195" spans="1:12" x14ac:dyDescent="0.25">
      <c r="A195" s="1" t="s">
        <v>697</v>
      </c>
      <c r="B195" s="1" t="s">
        <v>33</v>
      </c>
      <c r="C195" s="1" t="s">
        <v>34</v>
      </c>
      <c r="D195" s="1" t="s">
        <v>186</v>
      </c>
      <c r="E195" s="1" t="s">
        <v>80</v>
      </c>
      <c r="F195" s="1" t="s">
        <v>187</v>
      </c>
      <c r="G195" s="1" t="s">
        <v>38</v>
      </c>
      <c r="H195" s="1" t="s">
        <v>29</v>
      </c>
      <c r="I195" s="1" t="s">
        <v>39</v>
      </c>
      <c r="J195" s="1" t="s">
        <v>40</v>
      </c>
      <c r="K195" s="1" t="s">
        <v>41</v>
      </c>
      <c r="L195" s="1" t="s">
        <v>21</v>
      </c>
    </row>
    <row r="196" spans="1:12" x14ac:dyDescent="0.25">
      <c r="A196" s="1" t="s">
        <v>698</v>
      </c>
      <c r="B196" s="1" t="s">
        <v>699</v>
      </c>
      <c r="C196" s="1" t="s">
        <v>700</v>
      </c>
      <c r="D196" s="1" t="s">
        <v>25</v>
      </c>
      <c r="E196" s="1" t="s">
        <v>268</v>
      </c>
      <c r="F196" s="1" t="s">
        <v>273</v>
      </c>
      <c r="G196" s="1" t="s">
        <v>413</v>
      </c>
      <c r="H196" s="1" t="s">
        <v>29</v>
      </c>
      <c r="I196" s="1" t="s">
        <v>141</v>
      </c>
      <c r="J196" s="1" t="s">
        <v>168</v>
      </c>
      <c r="K196" s="1" t="s">
        <v>88</v>
      </c>
      <c r="L196" s="1" t="s">
        <v>21</v>
      </c>
    </row>
    <row r="197" spans="1:12" x14ac:dyDescent="0.25">
      <c r="A197" s="1" t="s">
        <v>701</v>
      </c>
      <c r="B197" s="1" t="s">
        <v>702</v>
      </c>
      <c r="C197" s="1" t="s">
        <v>703</v>
      </c>
      <c r="D197" s="1" t="s">
        <v>25</v>
      </c>
      <c r="E197" s="1" t="s">
        <v>704</v>
      </c>
      <c r="F197" s="1" t="s">
        <v>207</v>
      </c>
      <c r="G197" s="1" t="s">
        <v>459</v>
      </c>
      <c r="H197" s="1" t="s">
        <v>17</v>
      </c>
      <c r="I197" s="1" t="s">
        <v>141</v>
      </c>
      <c r="J197" s="1" t="s">
        <v>30</v>
      </c>
      <c r="K197" s="1" t="s">
        <v>55</v>
      </c>
      <c r="L197" s="1" t="s">
        <v>21</v>
      </c>
    </row>
    <row r="198" spans="1:12" x14ac:dyDescent="0.25">
      <c r="A198" s="1" t="s">
        <v>705</v>
      </c>
      <c r="B198" s="1" t="s">
        <v>706</v>
      </c>
      <c r="C198" s="1" t="s">
        <v>707</v>
      </c>
      <c r="D198" s="1" t="s">
        <v>66</v>
      </c>
      <c r="E198" s="1" t="s">
        <v>708</v>
      </c>
      <c r="F198" s="1" t="s">
        <v>211</v>
      </c>
      <c r="G198" s="1" t="s">
        <v>99</v>
      </c>
      <c r="H198" s="1" t="s">
        <v>29</v>
      </c>
      <c r="I198" s="1" t="s">
        <v>83</v>
      </c>
      <c r="J198" s="1" t="s">
        <v>30</v>
      </c>
      <c r="K198" s="1" t="s">
        <v>709</v>
      </c>
      <c r="L198" s="1" t="s">
        <v>21</v>
      </c>
    </row>
    <row r="199" spans="1:12" x14ac:dyDescent="0.25">
      <c r="A199" s="1" t="s">
        <v>710</v>
      </c>
      <c r="B199" s="1" t="s">
        <v>711</v>
      </c>
      <c r="C199" s="1" t="s">
        <v>712</v>
      </c>
      <c r="D199" s="1" t="s">
        <v>13</v>
      </c>
      <c r="E199" s="1" t="s">
        <v>370</v>
      </c>
      <c r="F199" s="1" t="s">
        <v>371</v>
      </c>
      <c r="G199" s="1" t="s">
        <v>16</v>
      </c>
      <c r="H199" s="1" t="s">
        <v>17</v>
      </c>
      <c r="I199" s="1" t="s">
        <v>354</v>
      </c>
      <c r="J199" s="1" t="s">
        <v>168</v>
      </c>
      <c r="K199" s="1" t="s">
        <v>713</v>
      </c>
      <c r="L199" s="1" t="s">
        <v>21</v>
      </c>
    </row>
    <row r="200" spans="1:12" x14ac:dyDescent="0.25">
      <c r="A200" s="1" t="s">
        <v>714</v>
      </c>
      <c r="B200" s="1" t="s">
        <v>78</v>
      </c>
      <c r="C200" s="1" t="s">
        <v>79</v>
      </c>
      <c r="D200" s="1" t="s">
        <v>178</v>
      </c>
      <c r="E200" s="1" t="s">
        <v>210</v>
      </c>
      <c r="F200" s="1" t="s">
        <v>211</v>
      </c>
      <c r="G200" s="1" t="s">
        <v>212</v>
      </c>
      <c r="H200" s="1" t="s">
        <v>29</v>
      </c>
      <c r="I200" s="1" t="s">
        <v>83</v>
      </c>
      <c r="J200" s="1" t="s">
        <v>40</v>
      </c>
      <c r="K200" s="1" t="s">
        <v>41</v>
      </c>
      <c r="L200" s="1" t="s">
        <v>21</v>
      </c>
    </row>
    <row r="201" spans="1:12" x14ac:dyDescent="0.25">
      <c r="A201" s="1" t="s">
        <v>715</v>
      </c>
      <c r="B201" s="1" t="s">
        <v>78</v>
      </c>
      <c r="C201" s="1" t="s">
        <v>214</v>
      </c>
      <c r="D201" s="1" t="s">
        <v>45</v>
      </c>
      <c r="E201" s="1" t="s">
        <v>215</v>
      </c>
      <c r="F201" s="1" t="s">
        <v>216</v>
      </c>
      <c r="G201" s="1" t="s">
        <v>82</v>
      </c>
      <c r="H201" s="1" t="s">
        <v>29</v>
      </c>
      <c r="I201" s="1" t="s">
        <v>83</v>
      </c>
      <c r="J201" s="1" t="s">
        <v>40</v>
      </c>
      <c r="K201" s="1" t="s">
        <v>41</v>
      </c>
      <c r="L201" s="1" t="s">
        <v>21</v>
      </c>
    </row>
    <row r="202" spans="1:12" x14ac:dyDescent="0.25">
      <c r="A202" s="1" t="s">
        <v>716</v>
      </c>
      <c r="B202" s="1" t="s">
        <v>717</v>
      </c>
      <c r="C202" s="1" t="s">
        <v>718</v>
      </c>
      <c r="D202" s="1" t="s">
        <v>205</v>
      </c>
      <c r="E202" s="1" t="s">
        <v>256</v>
      </c>
      <c r="F202" s="1" t="s">
        <v>391</v>
      </c>
      <c r="G202" s="1" t="s">
        <v>160</v>
      </c>
      <c r="H202" s="1" t="s">
        <v>29</v>
      </c>
      <c r="I202" s="1" t="s">
        <v>141</v>
      </c>
      <c r="J202" s="1" t="s">
        <v>19</v>
      </c>
      <c r="K202" s="1" t="s">
        <v>258</v>
      </c>
      <c r="L202" s="1" t="s">
        <v>21</v>
      </c>
    </row>
    <row r="203" spans="1:12" x14ac:dyDescent="0.25">
      <c r="A203" s="1" t="s">
        <v>719</v>
      </c>
      <c r="B203" s="1" t="s">
        <v>720</v>
      </c>
      <c r="C203" s="1" t="s">
        <v>721</v>
      </c>
      <c r="D203" s="1" t="s">
        <v>722</v>
      </c>
      <c r="E203" s="1" t="s">
        <v>115</v>
      </c>
      <c r="F203" s="1" t="s">
        <v>465</v>
      </c>
      <c r="G203" s="1" t="s">
        <v>16</v>
      </c>
      <c r="H203" s="1" t="s">
        <v>29</v>
      </c>
      <c r="I203" s="1" t="s">
        <v>83</v>
      </c>
      <c r="J203" s="1" t="s">
        <v>30</v>
      </c>
      <c r="K203" s="1" t="s">
        <v>504</v>
      </c>
      <c r="L203" s="1" t="s">
        <v>21</v>
      </c>
    </row>
    <row r="204" spans="1:12" x14ac:dyDescent="0.25">
      <c r="A204" s="1" t="s">
        <v>723</v>
      </c>
      <c r="B204" s="1" t="s">
        <v>33</v>
      </c>
      <c r="C204" s="1" t="s">
        <v>34</v>
      </c>
      <c r="D204" s="1" t="s">
        <v>35</v>
      </c>
      <c r="E204" s="1" t="s">
        <v>36</v>
      </c>
      <c r="F204" s="1" t="s">
        <v>37</v>
      </c>
      <c r="G204" s="1" t="s">
        <v>38</v>
      </c>
      <c r="H204" s="1" t="s">
        <v>29</v>
      </c>
      <c r="I204" s="1" t="s">
        <v>39</v>
      </c>
      <c r="J204" s="1" t="s">
        <v>40</v>
      </c>
      <c r="K204" s="1" t="s">
        <v>41</v>
      </c>
      <c r="L204" s="1" t="s">
        <v>21</v>
      </c>
    </row>
    <row r="205" spans="1:12" x14ac:dyDescent="0.25">
      <c r="A205" s="1" t="s">
        <v>724</v>
      </c>
      <c r="B205" s="1" t="s">
        <v>43</v>
      </c>
      <c r="C205" s="1" t="s">
        <v>44</v>
      </c>
      <c r="D205" s="1" t="s">
        <v>35</v>
      </c>
      <c r="E205" s="1" t="s">
        <v>45</v>
      </c>
      <c r="F205" s="1" t="s">
        <v>46</v>
      </c>
      <c r="G205" s="1" t="s">
        <v>47</v>
      </c>
      <c r="H205" s="1" t="s">
        <v>29</v>
      </c>
      <c r="I205" s="1" t="s">
        <v>39</v>
      </c>
      <c r="J205" s="1" t="s">
        <v>40</v>
      </c>
      <c r="K205" s="1" t="s">
        <v>41</v>
      </c>
      <c r="L205" s="1" t="s">
        <v>21</v>
      </c>
    </row>
    <row r="206" spans="1:12" x14ac:dyDescent="0.25">
      <c r="A206" s="1" t="s">
        <v>725</v>
      </c>
      <c r="B206" s="1" t="s">
        <v>726</v>
      </c>
      <c r="C206" s="1" t="s">
        <v>727</v>
      </c>
      <c r="D206" s="1" t="s">
        <v>417</v>
      </c>
      <c r="E206" s="1" t="s">
        <v>728</v>
      </c>
      <c r="F206" s="1" t="s">
        <v>405</v>
      </c>
      <c r="G206" s="1" t="s">
        <v>16</v>
      </c>
      <c r="H206" s="1" t="s">
        <v>29</v>
      </c>
      <c r="I206" s="1" t="s">
        <v>141</v>
      </c>
      <c r="J206" s="1" t="s">
        <v>168</v>
      </c>
      <c r="K206" s="1" t="s">
        <v>118</v>
      </c>
      <c r="L206" s="1" t="s">
        <v>21</v>
      </c>
    </row>
    <row r="207" spans="1:12" x14ac:dyDescent="0.25">
      <c r="A207" s="1" t="s">
        <v>729</v>
      </c>
      <c r="B207" s="1" t="s">
        <v>730</v>
      </c>
      <c r="C207" s="1" t="s">
        <v>731</v>
      </c>
      <c r="D207" s="1" t="s">
        <v>51</v>
      </c>
      <c r="E207" s="1" t="s">
        <v>732</v>
      </c>
      <c r="F207" s="1" t="s">
        <v>180</v>
      </c>
      <c r="G207" s="1" t="s">
        <v>99</v>
      </c>
      <c r="H207" s="1" t="s">
        <v>17</v>
      </c>
      <c r="I207" s="1" t="s">
        <v>141</v>
      </c>
      <c r="J207" s="1" t="s">
        <v>19</v>
      </c>
      <c r="K207" s="1" t="s">
        <v>55</v>
      </c>
      <c r="L207" s="1" t="s">
        <v>21</v>
      </c>
    </row>
    <row r="208" spans="1:12" x14ac:dyDescent="0.25">
      <c r="A208" s="1" t="s">
        <v>733</v>
      </c>
      <c r="B208" s="1" t="s">
        <v>734</v>
      </c>
      <c r="C208" s="1" t="s">
        <v>735</v>
      </c>
      <c r="D208" s="1" t="s">
        <v>296</v>
      </c>
      <c r="E208" s="1" t="s">
        <v>635</v>
      </c>
      <c r="F208" s="1" t="s">
        <v>498</v>
      </c>
      <c r="G208" s="1" t="s">
        <v>337</v>
      </c>
      <c r="H208" s="1" t="s">
        <v>29</v>
      </c>
      <c r="I208" s="1" t="s">
        <v>141</v>
      </c>
      <c r="J208" s="1" t="s">
        <v>168</v>
      </c>
      <c r="K208" s="1" t="s">
        <v>169</v>
      </c>
      <c r="L208" s="1" t="s">
        <v>21</v>
      </c>
    </row>
    <row r="209" spans="1:12" x14ac:dyDescent="0.25">
      <c r="A209" s="1" t="s">
        <v>736</v>
      </c>
      <c r="B209" s="1" t="s">
        <v>737</v>
      </c>
      <c r="C209" s="1" t="s">
        <v>738</v>
      </c>
      <c r="D209" s="1" t="s">
        <v>13</v>
      </c>
      <c r="E209" s="1" t="s">
        <v>14</v>
      </c>
      <c r="F209" s="1" t="s">
        <v>15</v>
      </c>
      <c r="G209" s="1" t="s">
        <v>365</v>
      </c>
      <c r="H209" s="1" t="s">
        <v>17</v>
      </c>
      <c r="I209" s="1" t="s">
        <v>354</v>
      </c>
      <c r="J209" s="1" t="s">
        <v>30</v>
      </c>
      <c r="K209" s="1" t="s">
        <v>345</v>
      </c>
      <c r="L209" s="1" t="s">
        <v>21</v>
      </c>
    </row>
    <row r="210" spans="1:12" x14ac:dyDescent="0.25">
      <c r="A210" s="1" t="s">
        <v>739</v>
      </c>
      <c r="B210" s="1" t="s">
        <v>33</v>
      </c>
      <c r="C210" s="1" t="s">
        <v>34</v>
      </c>
      <c r="D210" s="1" t="s">
        <v>35</v>
      </c>
      <c r="E210" s="1" t="s">
        <v>36</v>
      </c>
      <c r="F210" s="1" t="s">
        <v>37</v>
      </c>
      <c r="G210" s="1" t="s">
        <v>38</v>
      </c>
      <c r="H210" s="1" t="s">
        <v>29</v>
      </c>
      <c r="I210" s="1" t="s">
        <v>39</v>
      </c>
      <c r="J210" s="1" t="s">
        <v>40</v>
      </c>
      <c r="K210" s="1" t="s">
        <v>41</v>
      </c>
      <c r="L210" s="1" t="s">
        <v>21</v>
      </c>
    </row>
    <row r="211" spans="1:12" x14ac:dyDescent="0.25">
      <c r="A211" s="1" t="s">
        <v>740</v>
      </c>
      <c r="B211" s="1" t="s">
        <v>78</v>
      </c>
      <c r="C211" s="1" t="s">
        <v>79</v>
      </c>
      <c r="D211" s="1" t="s">
        <v>51</v>
      </c>
      <c r="E211" s="1" t="s">
        <v>80</v>
      </c>
      <c r="F211" s="1" t="s">
        <v>81</v>
      </c>
      <c r="G211" s="1" t="s">
        <v>82</v>
      </c>
      <c r="H211" s="1" t="s">
        <v>29</v>
      </c>
      <c r="I211" s="1" t="s">
        <v>83</v>
      </c>
      <c r="J211" s="1" t="s">
        <v>40</v>
      </c>
      <c r="K211" s="1" t="s">
        <v>41</v>
      </c>
      <c r="L211" s="1" t="s">
        <v>21</v>
      </c>
    </row>
    <row r="212" spans="1:12" x14ac:dyDescent="0.25">
      <c r="A212" s="1" t="s">
        <v>741</v>
      </c>
      <c r="B212" s="1" t="s">
        <v>726</v>
      </c>
      <c r="C212" s="1" t="s">
        <v>727</v>
      </c>
      <c r="D212" s="1" t="s">
        <v>417</v>
      </c>
      <c r="E212" s="1" t="s">
        <v>742</v>
      </c>
      <c r="F212" s="1" t="s">
        <v>159</v>
      </c>
      <c r="G212" s="1" t="s">
        <v>16</v>
      </c>
      <c r="H212" s="1" t="s">
        <v>29</v>
      </c>
      <c r="I212" s="1" t="s">
        <v>141</v>
      </c>
      <c r="J212" s="1" t="s">
        <v>168</v>
      </c>
      <c r="K212" s="1" t="s">
        <v>743</v>
      </c>
      <c r="L212" s="1" t="s">
        <v>21</v>
      </c>
    </row>
    <row r="213" spans="1:12" x14ac:dyDescent="0.25">
      <c r="A213" s="1" t="s">
        <v>744</v>
      </c>
      <c r="B213" s="1" t="s">
        <v>745</v>
      </c>
      <c r="C213" s="1" t="s">
        <v>746</v>
      </c>
      <c r="D213" s="1" t="s">
        <v>13</v>
      </c>
      <c r="E213" s="1" t="s">
        <v>352</v>
      </c>
      <c r="F213" s="1" t="s">
        <v>391</v>
      </c>
      <c r="G213" s="1" t="s">
        <v>99</v>
      </c>
      <c r="H213" s="1" t="s">
        <v>29</v>
      </c>
      <c r="I213" s="1" t="s">
        <v>141</v>
      </c>
      <c r="J213" s="1" t="s">
        <v>30</v>
      </c>
      <c r="K213" s="1" t="s">
        <v>20</v>
      </c>
      <c r="L213" s="1" t="s">
        <v>21</v>
      </c>
    </row>
    <row r="214" spans="1:12" x14ac:dyDescent="0.25">
      <c r="A214" s="1" t="s">
        <v>747</v>
      </c>
      <c r="B214" s="1" t="s">
        <v>78</v>
      </c>
      <c r="C214" s="1" t="s">
        <v>79</v>
      </c>
      <c r="D214" s="1" t="s">
        <v>96</v>
      </c>
      <c r="E214" s="1" t="s">
        <v>97</v>
      </c>
      <c r="F214" s="1" t="s">
        <v>98</v>
      </c>
      <c r="G214" s="1" t="s">
        <v>99</v>
      </c>
      <c r="H214" s="1" t="s">
        <v>29</v>
      </c>
      <c r="I214" s="1" t="s">
        <v>83</v>
      </c>
      <c r="J214" s="1" t="s">
        <v>40</v>
      </c>
      <c r="K214" s="1" t="s">
        <v>41</v>
      </c>
      <c r="L214" s="1" t="s">
        <v>21</v>
      </c>
    </row>
    <row r="215" spans="1:12" x14ac:dyDescent="0.25">
      <c r="A215" s="1" t="s">
        <v>748</v>
      </c>
      <c r="B215" s="1" t="s">
        <v>101</v>
      </c>
      <c r="C215" s="1" t="s">
        <v>102</v>
      </c>
      <c r="D215" s="1" t="s">
        <v>103</v>
      </c>
      <c r="E215" s="1" t="s">
        <v>104</v>
      </c>
      <c r="F215" s="1" t="s">
        <v>105</v>
      </c>
      <c r="G215" s="1" t="s">
        <v>47</v>
      </c>
      <c r="H215" s="1" t="s">
        <v>29</v>
      </c>
      <c r="I215" s="1" t="s">
        <v>106</v>
      </c>
      <c r="J215" s="1" t="s">
        <v>40</v>
      </c>
      <c r="K215" s="1" t="s">
        <v>41</v>
      </c>
      <c r="L215" s="1" t="s">
        <v>21</v>
      </c>
    </row>
    <row r="216" spans="1:12" x14ac:dyDescent="0.25">
      <c r="A216" s="1" t="s">
        <v>749</v>
      </c>
      <c r="B216" s="1" t="s">
        <v>750</v>
      </c>
      <c r="C216" s="1" t="s">
        <v>751</v>
      </c>
      <c r="D216" s="1" t="s">
        <v>728</v>
      </c>
      <c r="E216" s="1" t="s">
        <v>352</v>
      </c>
      <c r="F216" s="1" t="s">
        <v>74</v>
      </c>
      <c r="G216" s="1" t="s">
        <v>459</v>
      </c>
      <c r="H216" s="1" t="s">
        <v>29</v>
      </c>
      <c r="I216" s="1" t="s">
        <v>354</v>
      </c>
      <c r="J216" s="1" t="s">
        <v>30</v>
      </c>
      <c r="K216" s="1" t="s">
        <v>169</v>
      </c>
      <c r="L216" s="1" t="s">
        <v>21</v>
      </c>
    </row>
    <row r="217" spans="1:12" x14ac:dyDescent="0.25">
      <c r="A217" s="1" t="s">
        <v>752</v>
      </c>
      <c r="B217" s="1" t="s">
        <v>753</v>
      </c>
      <c r="C217" s="1" t="s">
        <v>754</v>
      </c>
      <c r="D217" s="1" t="s">
        <v>51</v>
      </c>
      <c r="E217" s="1" t="s">
        <v>189</v>
      </c>
      <c r="F217" s="1" t="s">
        <v>405</v>
      </c>
      <c r="G217" s="1" t="s">
        <v>160</v>
      </c>
      <c r="H217" s="1" t="s">
        <v>29</v>
      </c>
      <c r="I217" s="1" t="s">
        <v>54</v>
      </c>
      <c r="J217" s="1" t="s">
        <v>30</v>
      </c>
      <c r="K217" s="1" t="s">
        <v>55</v>
      </c>
      <c r="L217" s="1" t="s">
        <v>21</v>
      </c>
    </row>
    <row r="218" spans="1:12" x14ac:dyDescent="0.25">
      <c r="A218" s="1" t="s">
        <v>755</v>
      </c>
      <c r="B218" s="1" t="s">
        <v>756</v>
      </c>
      <c r="C218" s="1" t="s">
        <v>757</v>
      </c>
      <c r="D218" s="1" t="s">
        <v>758</v>
      </c>
      <c r="E218" s="1" t="s">
        <v>232</v>
      </c>
      <c r="F218" s="1" t="s">
        <v>60</v>
      </c>
      <c r="G218" s="1" t="s">
        <v>337</v>
      </c>
      <c r="H218" s="1" t="s">
        <v>29</v>
      </c>
      <c r="I218" s="1" t="s">
        <v>141</v>
      </c>
      <c r="J218" s="1" t="s">
        <v>30</v>
      </c>
      <c r="K218" s="1" t="s">
        <v>504</v>
      </c>
      <c r="L218" s="1" t="s">
        <v>21</v>
      </c>
    </row>
    <row r="219" spans="1:12" x14ac:dyDescent="0.25">
      <c r="A219" s="1" t="s">
        <v>759</v>
      </c>
      <c r="B219" s="1" t="s">
        <v>760</v>
      </c>
      <c r="C219" s="1" t="s">
        <v>761</v>
      </c>
      <c r="D219" s="1" t="s">
        <v>417</v>
      </c>
      <c r="E219" s="1" t="s">
        <v>762</v>
      </c>
      <c r="F219" s="1" t="s">
        <v>159</v>
      </c>
      <c r="G219" s="1" t="s">
        <v>47</v>
      </c>
      <c r="H219" s="1" t="s">
        <v>17</v>
      </c>
      <c r="I219" s="1" t="s">
        <v>83</v>
      </c>
      <c r="J219" s="1" t="s">
        <v>30</v>
      </c>
      <c r="K219" s="1" t="s">
        <v>763</v>
      </c>
      <c r="L219" s="1" t="s">
        <v>21</v>
      </c>
    </row>
    <row r="220" spans="1:12" x14ac:dyDescent="0.25">
      <c r="A220" s="1" t="s">
        <v>764</v>
      </c>
      <c r="B220" s="1" t="s">
        <v>43</v>
      </c>
      <c r="C220" s="1" t="s">
        <v>44</v>
      </c>
      <c r="D220" s="1" t="s">
        <v>35</v>
      </c>
      <c r="E220" s="1" t="s">
        <v>45</v>
      </c>
      <c r="F220" s="1" t="s">
        <v>46</v>
      </c>
      <c r="G220" s="1" t="s">
        <v>47</v>
      </c>
      <c r="H220" s="1" t="s">
        <v>29</v>
      </c>
      <c r="I220" s="1" t="s">
        <v>39</v>
      </c>
      <c r="J220" s="1" t="s">
        <v>40</v>
      </c>
      <c r="K220" s="1" t="s">
        <v>41</v>
      </c>
      <c r="L220" s="1" t="s">
        <v>21</v>
      </c>
    </row>
    <row r="221" spans="1:12" x14ac:dyDescent="0.25">
      <c r="A221" s="1" t="s">
        <v>765</v>
      </c>
      <c r="B221" s="1" t="s">
        <v>43</v>
      </c>
      <c r="C221" s="1" t="s">
        <v>44</v>
      </c>
      <c r="D221" s="1" t="s">
        <v>35</v>
      </c>
      <c r="E221" s="1" t="s">
        <v>45</v>
      </c>
      <c r="F221" s="1" t="s">
        <v>46</v>
      </c>
      <c r="G221" s="1" t="s">
        <v>47</v>
      </c>
      <c r="H221" s="1" t="s">
        <v>29</v>
      </c>
      <c r="I221" s="1" t="s">
        <v>39</v>
      </c>
      <c r="J221" s="1" t="s">
        <v>40</v>
      </c>
      <c r="K221" s="1" t="s">
        <v>41</v>
      </c>
      <c r="L221" s="1" t="s">
        <v>21</v>
      </c>
    </row>
    <row r="222" spans="1:12" x14ac:dyDescent="0.25">
      <c r="A222" s="1" t="s">
        <v>766</v>
      </c>
      <c r="B222" s="1" t="s">
        <v>767</v>
      </c>
      <c r="C222" s="1" t="s">
        <v>768</v>
      </c>
      <c r="D222" s="1" t="s">
        <v>417</v>
      </c>
      <c r="E222" s="1" t="s">
        <v>769</v>
      </c>
      <c r="F222" s="1" t="s">
        <v>123</v>
      </c>
      <c r="G222" s="1" t="s">
        <v>16</v>
      </c>
      <c r="H222" s="1" t="s">
        <v>29</v>
      </c>
      <c r="I222" s="1" t="s">
        <v>354</v>
      </c>
      <c r="J222" s="1" t="s">
        <v>168</v>
      </c>
      <c r="K222" s="1" t="s">
        <v>770</v>
      </c>
      <c r="L222" s="1" t="s">
        <v>21</v>
      </c>
    </row>
    <row r="223" spans="1:12" x14ac:dyDescent="0.25">
      <c r="A223" s="1" t="s">
        <v>771</v>
      </c>
      <c r="B223" s="1" t="s">
        <v>772</v>
      </c>
      <c r="C223" s="1" t="s">
        <v>773</v>
      </c>
      <c r="D223" s="1" t="s">
        <v>157</v>
      </c>
      <c r="E223" s="1" t="s">
        <v>115</v>
      </c>
      <c r="F223" s="1" t="s">
        <v>220</v>
      </c>
      <c r="G223" s="1" t="s">
        <v>551</v>
      </c>
      <c r="H223" s="1" t="s">
        <v>29</v>
      </c>
      <c r="I223" s="1" t="s">
        <v>141</v>
      </c>
      <c r="J223" s="1" t="s">
        <v>30</v>
      </c>
      <c r="K223" s="1" t="s">
        <v>338</v>
      </c>
      <c r="L223" s="1" t="s">
        <v>21</v>
      </c>
    </row>
    <row r="224" spans="1:12" x14ac:dyDescent="0.25">
      <c r="A224" s="1" t="s">
        <v>774</v>
      </c>
      <c r="B224" s="1" t="s">
        <v>78</v>
      </c>
      <c r="C224" s="1" t="s">
        <v>79</v>
      </c>
      <c r="D224" s="1" t="s">
        <v>51</v>
      </c>
      <c r="E224" s="1" t="s">
        <v>143</v>
      </c>
      <c r="F224" s="1" t="s">
        <v>144</v>
      </c>
      <c r="G224" s="1" t="s">
        <v>47</v>
      </c>
      <c r="H224" s="1" t="s">
        <v>29</v>
      </c>
      <c r="I224" s="1" t="s">
        <v>83</v>
      </c>
      <c r="J224" s="1" t="s">
        <v>40</v>
      </c>
      <c r="K224" s="1" t="s">
        <v>41</v>
      </c>
      <c r="L224" s="1" t="s">
        <v>21</v>
      </c>
    </row>
    <row r="225" spans="1:12" x14ac:dyDescent="0.25">
      <c r="A225" s="1" t="s">
        <v>775</v>
      </c>
      <c r="B225" s="1" t="s">
        <v>33</v>
      </c>
      <c r="C225" s="1" t="s">
        <v>34</v>
      </c>
      <c r="D225" s="1" t="s">
        <v>35</v>
      </c>
      <c r="E225" s="1" t="s">
        <v>146</v>
      </c>
      <c r="F225" s="1" t="s">
        <v>147</v>
      </c>
      <c r="G225" s="1" t="s">
        <v>38</v>
      </c>
      <c r="H225" s="1" t="s">
        <v>29</v>
      </c>
      <c r="I225" s="1" t="s">
        <v>39</v>
      </c>
      <c r="J225" s="1" t="s">
        <v>40</v>
      </c>
      <c r="K225" s="1" t="s">
        <v>41</v>
      </c>
      <c r="L225" s="1" t="s">
        <v>21</v>
      </c>
    </row>
    <row r="226" spans="1:12" x14ac:dyDescent="0.25">
      <c r="A226" s="1" t="s">
        <v>776</v>
      </c>
      <c r="B226" s="1" t="s">
        <v>777</v>
      </c>
      <c r="C226" s="1" t="s">
        <v>778</v>
      </c>
      <c r="D226" s="1" t="s">
        <v>51</v>
      </c>
      <c r="E226" s="1" t="s">
        <v>87</v>
      </c>
      <c r="F226" s="1" t="s">
        <v>405</v>
      </c>
      <c r="G226" s="1" t="s">
        <v>503</v>
      </c>
      <c r="H226" s="1" t="s">
        <v>29</v>
      </c>
      <c r="I226" s="1" t="s">
        <v>141</v>
      </c>
      <c r="J226" s="1" t="s">
        <v>30</v>
      </c>
      <c r="K226" s="1" t="s">
        <v>779</v>
      </c>
      <c r="L226" s="1" t="s">
        <v>21</v>
      </c>
    </row>
    <row r="227" spans="1:12" x14ac:dyDescent="0.25">
      <c r="A227" s="1" t="s">
        <v>780</v>
      </c>
      <c r="B227" s="1" t="s">
        <v>781</v>
      </c>
      <c r="C227" s="1" t="s">
        <v>782</v>
      </c>
      <c r="D227" s="1" t="s">
        <v>579</v>
      </c>
      <c r="E227" s="1" t="s">
        <v>783</v>
      </c>
      <c r="F227" s="1" t="s">
        <v>53</v>
      </c>
      <c r="G227" s="1" t="s">
        <v>16</v>
      </c>
      <c r="H227" s="1" t="s">
        <v>17</v>
      </c>
      <c r="I227" s="1" t="s">
        <v>94</v>
      </c>
      <c r="J227" s="1" t="s">
        <v>168</v>
      </c>
      <c r="K227" s="1" t="s">
        <v>784</v>
      </c>
      <c r="L227" s="1" t="s">
        <v>21</v>
      </c>
    </row>
    <row r="228" spans="1:12" x14ac:dyDescent="0.25">
      <c r="A228" s="1" t="s">
        <v>785</v>
      </c>
      <c r="B228" s="1" t="s">
        <v>786</v>
      </c>
      <c r="C228" s="1" t="s">
        <v>787</v>
      </c>
      <c r="D228" s="1" t="s">
        <v>788</v>
      </c>
      <c r="E228" s="1" t="s">
        <v>400</v>
      </c>
      <c r="F228" s="1" t="s">
        <v>364</v>
      </c>
      <c r="G228" s="1" t="s">
        <v>99</v>
      </c>
      <c r="H228" s="1" t="s">
        <v>29</v>
      </c>
      <c r="I228" s="1" t="s">
        <v>141</v>
      </c>
      <c r="J228" s="1" t="s">
        <v>30</v>
      </c>
      <c r="K228" s="1" t="s">
        <v>55</v>
      </c>
      <c r="L228" s="1" t="s">
        <v>21</v>
      </c>
    </row>
    <row r="229" spans="1:12" x14ac:dyDescent="0.25">
      <c r="A229" s="1" t="s">
        <v>789</v>
      </c>
      <c r="B229" s="1" t="s">
        <v>790</v>
      </c>
      <c r="C229" s="1" t="s">
        <v>791</v>
      </c>
      <c r="D229" s="1" t="s">
        <v>792</v>
      </c>
      <c r="E229" s="1" t="s">
        <v>793</v>
      </c>
      <c r="F229" s="1" t="s">
        <v>794</v>
      </c>
      <c r="G229" s="1" t="s">
        <v>160</v>
      </c>
      <c r="H229" s="1" t="s">
        <v>29</v>
      </c>
      <c r="I229" s="1" t="s">
        <v>141</v>
      </c>
      <c r="J229" s="1" t="s">
        <v>19</v>
      </c>
      <c r="K229" s="1" t="s">
        <v>795</v>
      </c>
      <c r="L229" s="1" t="s">
        <v>21</v>
      </c>
    </row>
    <row r="230" spans="1:12" x14ac:dyDescent="0.25">
      <c r="A230" s="1" t="s">
        <v>796</v>
      </c>
      <c r="B230" s="1" t="s">
        <v>78</v>
      </c>
      <c r="C230" s="1" t="s">
        <v>79</v>
      </c>
      <c r="D230" s="1" t="s">
        <v>35</v>
      </c>
      <c r="E230" s="1" t="s">
        <v>80</v>
      </c>
      <c r="F230" s="1" t="s">
        <v>171</v>
      </c>
      <c r="G230" s="1" t="s">
        <v>82</v>
      </c>
      <c r="H230" s="1" t="s">
        <v>29</v>
      </c>
      <c r="I230" s="1" t="s">
        <v>83</v>
      </c>
      <c r="J230" s="1" t="s">
        <v>40</v>
      </c>
      <c r="K230" s="1" t="s">
        <v>41</v>
      </c>
      <c r="L230" s="1" t="s">
        <v>21</v>
      </c>
    </row>
    <row r="231" spans="1:12" x14ac:dyDescent="0.25">
      <c r="A231" s="1" t="s">
        <v>797</v>
      </c>
      <c r="B231" s="1" t="s">
        <v>78</v>
      </c>
      <c r="C231" s="1" t="s">
        <v>79</v>
      </c>
      <c r="D231" s="1" t="s">
        <v>51</v>
      </c>
      <c r="E231" s="1" t="s">
        <v>173</v>
      </c>
      <c r="F231" s="1" t="s">
        <v>37</v>
      </c>
      <c r="G231" s="1" t="s">
        <v>174</v>
      </c>
      <c r="H231" s="1" t="s">
        <v>29</v>
      </c>
      <c r="I231" s="1" t="s">
        <v>83</v>
      </c>
      <c r="J231" s="1" t="s">
        <v>40</v>
      </c>
      <c r="K231" s="1" t="s">
        <v>41</v>
      </c>
      <c r="L231" s="1" t="s">
        <v>21</v>
      </c>
    </row>
    <row r="232" spans="1:12" x14ac:dyDescent="0.25">
      <c r="A232" s="1" t="s">
        <v>798</v>
      </c>
      <c r="B232" s="1" t="s">
        <v>799</v>
      </c>
      <c r="C232" s="1" t="s">
        <v>800</v>
      </c>
      <c r="D232" s="1" t="s">
        <v>801</v>
      </c>
      <c r="E232" s="1" t="s">
        <v>122</v>
      </c>
      <c r="F232" s="1" t="s">
        <v>123</v>
      </c>
      <c r="G232" s="1" t="s">
        <v>590</v>
      </c>
      <c r="H232" s="1" t="s">
        <v>29</v>
      </c>
      <c r="I232" s="1" t="s">
        <v>106</v>
      </c>
      <c r="J232" s="1" t="s">
        <v>181</v>
      </c>
      <c r="K232" s="1" t="s">
        <v>802</v>
      </c>
      <c r="L232" s="1" t="s">
        <v>21</v>
      </c>
    </row>
    <row r="233" spans="1:12" x14ac:dyDescent="0.25">
      <c r="A233" s="1" t="s">
        <v>803</v>
      </c>
      <c r="B233" s="1" t="s">
        <v>804</v>
      </c>
      <c r="C233" s="1" t="s">
        <v>805</v>
      </c>
      <c r="D233" s="1" t="s">
        <v>13</v>
      </c>
      <c r="E233" s="1" t="s">
        <v>806</v>
      </c>
      <c r="F233" s="1" t="s">
        <v>273</v>
      </c>
      <c r="G233" s="1" t="s">
        <v>16</v>
      </c>
      <c r="H233" s="1" t="s">
        <v>29</v>
      </c>
      <c r="I233" s="1" t="s">
        <v>141</v>
      </c>
      <c r="J233" s="1" t="s">
        <v>807</v>
      </c>
      <c r="K233" s="1" t="s">
        <v>770</v>
      </c>
      <c r="L233" s="1" t="s">
        <v>21</v>
      </c>
    </row>
    <row r="234" spans="1:12" x14ac:dyDescent="0.25">
      <c r="A234" s="1" t="s">
        <v>808</v>
      </c>
      <c r="B234" s="1" t="s">
        <v>78</v>
      </c>
      <c r="C234" s="1" t="s">
        <v>79</v>
      </c>
      <c r="D234" s="1" t="s">
        <v>51</v>
      </c>
      <c r="E234" s="1" t="s">
        <v>80</v>
      </c>
      <c r="F234" s="1" t="s">
        <v>81</v>
      </c>
      <c r="G234" s="1" t="s">
        <v>82</v>
      </c>
      <c r="H234" s="1" t="s">
        <v>29</v>
      </c>
      <c r="I234" s="1" t="s">
        <v>83</v>
      </c>
      <c r="J234" s="1" t="s">
        <v>40</v>
      </c>
      <c r="K234" s="1" t="s">
        <v>41</v>
      </c>
      <c r="L234" s="1" t="s">
        <v>21</v>
      </c>
    </row>
    <row r="235" spans="1:12" x14ac:dyDescent="0.25">
      <c r="A235" s="1" t="s">
        <v>809</v>
      </c>
      <c r="B235" s="1" t="s">
        <v>33</v>
      </c>
      <c r="C235" s="1" t="s">
        <v>34</v>
      </c>
      <c r="D235" s="1" t="s">
        <v>186</v>
      </c>
      <c r="E235" s="1" t="s">
        <v>80</v>
      </c>
      <c r="F235" s="1" t="s">
        <v>187</v>
      </c>
      <c r="G235" s="1" t="s">
        <v>38</v>
      </c>
      <c r="H235" s="1" t="s">
        <v>29</v>
      </c>
      <c r="I235" s="1" t="s">
        <v>39</v>
      </c>
      <c r="J235" s="1" t="s">
        <v>40</v>
      </c>
      <c r="K235" s="1" t="s">
        <v>41</v>
      </c>
      <c r="L235" s="1" t="s">
        <v>21</v>
      </c>
    </row>
    <row r="236" spans="1:12" x14ac:dyDescent="0.25">
      <c r="A236" s="1" t="s">
        <v>810</v>
      </c>
      <c r="B236" s="1" t="s">
        <v>811</v>
      </c>
      <c r="C236" s="1" t="s">
        <v>812</v>
      </c>
      <c r="D236" s="1" t="s">
        <v>51</v>
      </c>
      <c r="E236" s="1" t="s">
        <v>446</v>
      </c>
      <c r="F236" s="1" t="s">
        <v>447</v>
      </c>
      <c r="G236" s="1" t="s">
        <v>16</v>
      </c>
      <c r="H236" s="1" t="s">
        <v>17</v>
      </c>
      <c r="I236" s="1" t="s">
        <v>360</v>
      </c>
      <c r="J236" s="1" t="s">
        <v>19</v>
      </c>
      <c r="K236" s="1" t="s">
        <v>345</v>
      </c>
      <c r="L236" s="1" t="s">
        <v>21</v>
      </c>
    </row>
    <row r="237" spans="1:12" x14ac:dyDescent="0.25">
      <c r="A237" s="1" t="s">
        <v>813</v>
      </c>
      <c r="B237" s="1" t="s">
        <v>488</v>
      </c>
      <c r="C237" s="1" t="s">
        <v>489</v>
      </c>
      <c r="D237" s="1" t="s">
        <v>51</v>
      </c>
      <c r="E237" s="1" t="s">
        <v>87</v>
      </c>
      <c r="F237" s="1" t="s">
        <v>405</v>
      </c>
      <c r="G237" s="1" t="s">
        <v>129</v>
      </c>
      <c r="H237" s="1" t="s">
        <v>17</v>
      </c>
      <c r="I237" s="1" t="s">
        <v>141</v>
      </c>
      <c r="J237" s="1" t="s">
        <v>19</v>
      </c>
      <c r="K237" s="1" t="s">
        <v>525</v>
      </c>
      <c r="L237" s="1" t="s">
        <v>21</v>
      </c>
    </row>
    <row r="238" spans="1:12" x14ac:dyDescent="0.25">
      <c r="A238" s="1" t="s">
        <v>814</v>
      </c>
      <c r="B238" s="1" t="s">
        <v>815</v>
      </c>
      <c r="C238" s="1" t="s">
        <v>816</v>
      </c>
      <c r="D238" s="1" t="s">
        <v>51</v>
      </c>
      <c r="E238" s="1" t="s">
        <v>769</v>
      </c>
      <c r="F238" s="1" t="s">
        <v>233</v>
      </c>
      <c r="G238" s="1" t="s">
        <v>47</v>
      </c>
      <c r="H238" s="1" t="s">
        <v>29</v>
      </c>
      <c r="I238" s="1" t="s">
        <v>39</v>
      </c>
      <c r="J238" s="1" t="s">
        <v>40</v>
      </c>
      <c r="K238" s="1" t="s">
        <v>41</v>
      </c>
      <c r="L238" s="1" t="s">
        <v>21</v>
      </c>
    </row>
    <row r="239" spans="1:12" x14ac:dyDescent="0.25">
      <c r="A239" s="1" t="s">
        <v>817</v>
      </c>
      <c r="B239" s="1" t="s">
        <v>818</v>
      </c>
      <c r="C239" s="1" t="s">
        <v>819</v>
      </c>
      <c r="D239" s="1" t="s">
        <v>51</v>
      </c>
      <c r="E239" s="1" t="s">
        <v>566</v>
      </c>
      <c r="F239" s="1" t="s">
        <v>820</v>
      </c>
      <c r="G239" s="1" t="s">
        <v>337</v>
      </c>
      <c r="H239" s="1" t="s">
        <v>29</v>
      </c>
      <c r="I239" s="1" t="s">
        <v>54</v>
      </c>
      <c r="J239" s="1" t="s">
        <v>30</v>
      </c>
      <c r="K239" s="1" t="s">
        <v>239</v>
      </c>
      <c r="L239" s="1" t="s">
        <v>21</v>
      </c>
    </row>
    <row r="240" spans="1:12" x14ac:dyDescent="0.25">
      <c r="A240" s="1" t="s">
        <v>821</v>
      </c>
      <c r="B240" s="1" t="s">
        <v>78</v>
      </c>
      <c r="C240" s="1" t="s">
        <v>79</v>
      </c>
      <c r="D240" s="1" t="s">
        <v>178</v>
      </c>
      <c r="E240" s="1" t="s">
        <v>210</v>
      </c>
      <c r="F240" s="1" t="s">
        <v>211</v>
      </c>
      <c r="G240" s="1" t="s">
        <v>212</v>
      </c>
      <c r="H240" s="1" t="s">
        <v>29</v>
      </c>
      <c r="I240" s="1" t="s">
        <v>83</v>
      </c>
      <c r="J240" s="1" t="s">
        <v>40</v>
      </c>
      <c r="K240" s="1" t="s">
        <v>41</v>
      </c>
      <c r="L240" s="1" t="s">
        <v>21</v>
      </c>
    </row>
    <row r="241" spans="1:12" x14ac:dyDescent="0.25">
      <c r="A241" s="1" t="s">
        <v>822</v>
      </c>
      <c r="B241" s="1" t="s">
        <v>78</v>
      </c>
      <c r="C241" s="1" t="s">
        <v>214</v>
      </c>
      <c r="D241" s="1" t="s">
        <v>45</v>
      </c>
      <c r="E241" s="1" t="s">
        <v>215</v>
      </c>
      <c r="F241" s="1" t="s">
        <v>216</v>
      </c>
      <c r="G241" s="1" t="s">
        <v>82</v>
      </c>
      <c r="H241" s="1" t="s">
        <v>29</v>
      </c>
      <c r="I241" s="1" t="s">
        <v>83</v>
      </c>
      <c r="J241" s="1" t="s">
        <v>40</v>
      </c>
      <c r="K241" s="1" t="s">
        <v>41</v>
      </c>
      <c r="L241" s="1" t="s">
        <v>21</v>
      </c>
    </row>
    <row r="242" spans="1:12" x14ac:dyDescent="0.25">
      <c r="A242" s="1" t="s">
        <v>823</v>
      </c>
      <c r="B242" s="1" t="s">
        <v>120</v>
      </c>
      <c r="C242" s="1" t="s">
        <v>824</v>
      </c>
      <c r="D242" s="1" t="s">
        <v>51</v>
      </c>
      <c r="E242" s="1" t="s">
        <v>783</v>
      </c>
      <c r="F242" s="1" t="s">
        <v>476</v>
      </c>
      <c r="G242" s="1" t="s">
        <v>16</v>
      </c>
      <c r="H242" s="1" t="s">
        <v>17</v>
      </c>
      <c r="I242" s="1" t="s">
        <v>54</v>
      </c>
      <c r="J242" s="1" t="s">
        <v>19</v>
      </c>
      <c r="K242" s="1" t="s">
        <v>258</v>
      </c>
      <c r="L242" s="1" t="s">
        <v>21</v>
      </c>
    </row>
    <row r="243" spans="1:12" x14ac:dyDescent="0.25">
      <c r="A243" s="1" t="s">
        <v>825</v>
      </c>
      <c r="B243" s="1" t="s">
        <v>90</v>
      </c>
      <c r="C243" s="1" t="s">
        <v>91</v>
      </c>
      <c r="D243" s="1" t="s">
        <v>108</v>
      </c>
      <c r="E243" s="1" t="s">
        <v>59</v>
      </c>
      <c r="F243" s="1" t="s">
        <v>162</v>
      </c>
      <c r="G243" s="1" t="s">
        <v>16</v>
      </c>
      <c r="H243" s="1" t="s">
        <v>29</v>
      </c>
      <c r="I243" s="1" t="s">
        <v>94</v>
      </c>
      <c r="J243" s="1" t="s">
        <v>30</v>
      </c>
      <c r="K243" s="1" t="s">
        <v>163</v>
      </c>
      <c r="L243" s="1" t="s">
        <v>21</v>
      </c>
    </row>
    <row r="244" spans="1:12" x14ac:dyDescent="0.25">
      <c r="A244" s="1" t="s">
        <v>826</v>
      </c>
      <c r="B244" s="1" t="s">
        <v>155</v>
      </c>
      <c r="C244" s="1" t="s">
        <v>156</v>
      </c>
      <c r="D244" s="1" t="s">
        <v>157</v>
      </c>
      <c r="E244" s="1" t="s">
        <v>158</v>
      </c>
      <c r="F244" s="1" t="s">
        <v>159</v>
      </c>
      <c r="G244" s="1" t="s">
        <v>160</v>
      </c>
      <c r="H244" s="1" t="s">
        <v>29</v>
      </c>
      <c r="I244" s="1" t="s">
        <v>54</v>
      </c>
      <c r="J244" s="1" t="s">
        <v>19</v>
      </c>
      <c r="K244" s="1" t="s">
        <v>55</v>
      </c>
      <c r="L244" s="1" t="s">
        <v>21</v>
      </c>
    </row>
    <row r="245" spans="1:12" x14ac:dyDescent="0.25">
      <c r="A245" s="1" t="s">
        <v>827</v>
      </c>
      <c r="B245" s="1" t="s">
        <v>43</v>
      </c>
      <c r="C245" s="1" t="s">
        <v>44</v>
      </c>
      <c r="D245" s="1" t="s">
        <v>35</v>
      </c>
      <c r="E245" s="1" t="s">
        <v>45</v>
      </c>
      <c r="F245" s="1" t="s">
        <v>46</v>
      </c>
      <c r="G245" s="1" t="s">
        <v>47</v>
      </c>
      <c r="H245" s="1" t="s">
        <v>29</v>
      </c>
      <c r="I245" s="1" t="s">
        <v>39</v>
      </c>
      <c r="J245" s="1" t="s">
        <v>40</v>
      </c>
      <c r="K245" s="1" t="s">
        <v>41</v>
      </c>
      <c r="L245" s="1" t="s">
        <v>21</v>
      </c>
    </row>
    <row r="246" spans="1:12" x14ac:dyDescent="0.25">
      <c r="A246" s="1" t="s">
        <v>828</v>
      </c>
      <c r="B246" s="1" t="s">
        <v>829</v>
      </c>
      <c r="C246" s="1" t="s">
        <v>830</v>
      </c>
      <c r="D246" s="1" t="s">
        <v>14</v>
      </c>
      <c r="E246" s="1" t="s">
        <v>400</v>
      </c>
      <c r="F246" s="1" t="s">
        <v>401</v>
      </c>
      <c r="G246" s="1" t="s">
        <v>16</v>
      </c>
      <c r="H246" s="1" t="s">
        <v>29</v>
      </c>
      <c r="I246" s="1" t="s">
        <v>141</v>
      </c>
      <c r="J246" s="1" t="s">
        <v>19</v>
      </c>
      <c r="K246" s="1" t="s">
        <v>258</v>
      </c>
      <c r="L246" s="1" t="s">
        <v>21</v>
      </c>
    </row>
    <row r="247" spans="1:12" x14ac:dyDescent="0.25">
      <c r="A247" s="1" t="s">
        <v>831</v>
      </c>
      <c r="B247" s="1" t="s">
        <v>324</v>
      </c>
      <c r="C247" s="1" t="s">
        <v>325</v>
      </c>
      <c r="D247" s="1" t="s">
        <v>13</v>
      </c>
      <c r="E247" s="1" t="s">
        <v>732</v>
      </c>
      <c r="F247" s="1" t="s">
        <v>618</v>
      </c>
      <c r="G247" s="1" t="s">
        <v>832</v>
      </c>
      <c r="H247" s="1" t="s">
        <v>29</v>
      </c>
      <c r="I247" s="1" t="s">
        <v>39</v>
      </c>
      <c r="J247" s="1" t="s">
        <v>30</v>
      </c>
      <c r="K247" s="1" t="s">
        <v>833</v>
      </c>
      <c r="L247" s="1" t="s">
        <v>21</v>
      </c>
    </row>
    <row r="248" spans="1:12" x14ac:dyDescent="0.25">
      <c r="A248" s="1" t="s">
        <v>834</v>
      </c>
      <c r="B248" s="1" t="s">
        <v>324</v>
      </c>
      <c r="C248" s="1" t="s">
        <v>325</v>
      </c>
      <c r="D248" s="1" t="s">
        <v>326</v>
      </c>
      <c r="E248" s="1" t="s">
        <v>237</v>
      </c>
      <c r="F248" s="1" t="s">
        <v>15</v>
      </c>
      <c r="G248" s="1" t="s">
        <v>327</v>
      </c>
      <c r="H248" s="1" t="s">
        <v>17</v>
      </c>
      <c r="I248" s="1" t="s">
        <v>117</v>
      </c>
      <c r="J248" s="1" t="s">
        <v>30</v>
      </c>
      <c r="K248" s="1" t="s">
        <v>328</v>
      </c>
      <c r="L248" s="1" t="s">
        <v>21</v>
      </c>
    </row>
    <row r="249" spans="1:12" x14ac:dyDescent="0.25">
      <c r="A249" s="1" t="s">
        <v>835</v>
      </c>
      <c r="B249" s="1" t="s">
        <v>120</v>
      </c>
      <c r="C249" s="1" t="s">
        <v>824</v>
      </c>
      <c r="D249" s="1" t="s">
        <v>13</v>
      </c>
      <c r="E249" s="1" t="s">
        <v>836</v>
      </c>
      <c r="F249" s="1" t="s">
        <v>837</v>
      </c>
      <c r="G249" s="1" t="s">
        <v>16</v>
      </c>
      <c r="H249" s="1" t="s">
        <v>17</v>
      </c>
      <c r="I249" s="1" t="s">
        <v>54</v>
      </c>
      <c r="J249" s="1" t="s">
        <v>19</v>
      </c>
      <c r="K249" s="1" t="s">
        <v>258</v>
      </c>
      <c r="L249" s="1" t="s">
        <v>21</v>
      </c>
    </row>
    <row r="250" spans="1:12" x14ac:dyDescent="0.25">
      <c r="A250" s="1" t="s">
        <v>838</v>
      </c>
      <c r="B250" s="1" t="s">
        <v>33</v>
      </c>
      <c r="C250" s="1" t="s">
        <v>34</v>
      </c>
      <c r="D250" s="1" t="s">
        <v>35</v>
      </c>
      <c r="E250" s="1" t="s">
        <v>36</v>
      </c>
      <c r="F250" s="1" t="s">
        <v>37</v>
      </c>
      <c r="G250" s="1" t="s">
        <v>38</v>
      </c>
      <c r="H250" s="1" t="s">
        <v>29</v>
      </c>
      <c r="I250" s="1" t="s">
        <v>39</v>
      </c>
      <c r="J250" s="1" t="s">
        <v>40</v>
      </c>
      <c r="K250" s="1" t="s">
        <v>41</v>
      </c>
      <c r="L250" s="1" t="s">
        <v>21</v>
      </c>
    </row>
    <row r="251" spans="1:12" x14ac:dyDescent="0.25">
      <c r="A251" s="1" t="s">
        <v>839</v>
      </c>
      <c r="B251" s="1" t="s">
        <v>78</v>
      </c>
      <c r="C251" s="1" t="s">
        <v>79</v>
      </c>
      <c r="D251" s="1" t="s">
        <v>51</v>
      </c>
      <c r="E251" s="1" t="s">
        <v>80</v>
      </c>
      <c r="F251" s="1" t="s">
        <v>81</v>
      </c>
      <c r="G251" s="1" t="s">
        <v>82</v>
      </c>
      <c r="H251" s="1" t="s">
        <v>29</v>
      </c>
      <c r="I251" s="1" t="s">
        <v>83</v>
      </c>
      <c r="J251" s="1" t="s">
        <v>40</v>
      </c>
      <c r="K251" s="1" t="s">
        <v>41</v>
      </c>
      <c r="L251" s="1" t="s">
        <v>21</v>
      </c>
    </row>
    <row r="252" spans="1:12" x14ac:dyDescent="0.25">
      <c r="A252" s="1" t="s">
        <v>840</v>
      </c>
      <c r="B252" s="1" t="s">
        <v>49</v>
      </c>
      <c r="C252" s="1" t="s">
        <v>50</v>
      </c>
      <c r="D252" s="1" t="s">
        <v>841</v>
      </c>
      <c r="E252" s="1" t="s">
        <v>842</v>
      </c>
      <c r="F252" s="1" t="s">
        <v>843</v>
      </c>
      <c r="G252" s="1" t="s">
        <v>152</v>
      </c>
      <c r="H252" s="1" t="s">
        <v>29</v>
      </c>
      <c r="I252" s="1" t="s">
        <v>54</v>
      </c>
      <c r="J252" s="1" t="s">
        <v>168</v>
      </c>
      <c r="K252" s="1" t="s">
        <v>844</v>
      </c>
      <c r="L252" s="1" t="s">
        <v>21</v>
      </c>
    </row>
    <row r="253" spans="1:12" x14ac:dyDescent="0.25">
      <c r="A253" s="1" t="s">
        <v>845</v>
      </c>
      <c r="B253" s="1" t="s">
        <v>846</v>
      </c>
      <c r="C253" s="1" t="s">
        <v>847</v>
      </c>
      <c r="D253" s="1" t="s">
        <v>322</v>
      </c>
      <c r="E253" s="1" t="s">
        <v>277</v>
      </c>
      <c r="F253" s="1" t="s">
        <v>147</v>
      </c>
      <c r="G253" s="1" t="s">
        <v>16</v>
      </c>
      <c r="H253" s="1" t="s">
        <v>17</v>
      </c>
      <c r="I253" s="1" t="s">
        <v>54</v>
      </c>
      <c r="J253" s="1" t="s">
        <v>19</v>
      </c>
      <c r="K253" s="1" t="s">
        <v>848</v>
      </c>
      <c r="L253" s="1" t="s">
        <v>21</v>
      </c>
    </row>
    <row r="254" spans="1:12" x14ac:dyDescent="0.25">
      <c r="A254" s="1" t="s">
        <v>849</v>
      </c>
      <c r="B254" s="1" t="s">
        <v>78</v>
      </c>
      <c r="C254" s="1" t="s">
        <v>79</v>
      </c>
      <c r="D254" s="1" t="s">
        <v>96</v>
      </c>
      <c r="E254" s="1" t="s">
        <v>97</v>
      </c>
      <c r="F254" s="1" t="s">
        <v>98</v>
      </c>
      <c r="G254" s="1" t="s">
        <v>99</v>
      </c>
      <c r="H254" s="1" t="s">
        <v>29</v>
      </c>
      <c r="I254" s="1" t="s">
        <v>83</v>
      </c>
      <c r="J254" s="1" t="s">
        <v>40</v>
      </c>
      <c r="K254" s="1" t="s">
        <v>41</v>
      </c>
      <c r="L254" s="1" t="s">
        <v>21</v>
      </c>
    </row>
    <row r="255" spans="1:12" x14ac:dyDescent="0.25">
      <c r="A255" s="1" t="s">
        <v>850</v>
      </c>
      <c r="B255" s="1" t="s">
        <v>101</v>
      </c>
      <c r="C255" s="1" t="s">
        <v>102</v>
      </c>
      <c r="D255" s="1" t="s">
        <v>103</v>
      </c>
      <c r="E255" s="1" t="s">
        <v>104</v>
      </c>
      <c r="F255" s="1" t="s">
        <v>105</v>
      </c>
      <c r="G255" s="1" t="s">
        <v>47</v>
      </c>
      <c r="H255" s="1" t="s">
        <v>29</v>
      </c>
      <c r="I255" s="1" t="s">
        <v>106</v>
      </c>
      <c r="J255" s="1" t="s">
        <v>40</v>
      </c>
      <c r="K255" s="1" t="s">
        <v>41</v>
      </c>
      <c r="L255" s="1" t="s">
        <v>21</v>
      </c>
    </row>
    <row r="256" spans="1:12" x14ac:dyDescent="0.25">
      <c r="A256" s="1" t="s">
        <v>851</v>
      </c>
      <c r="B256" s="1" t="s">
        <v>852</v>
      </c>
      <c r="C256" s="1" t="s">
        <v>853</v>
      </c>
      <c r="D256" s="1" t="s">
        <v>841</v>
      </c>
      <c r="E256" s="1" t="s">
        <v>87</v>
      </c>
      <c r="F256" s="1" t="s">
        <v>618</v>
      </c>
      <c r="G256" s="1" t="s">
        <v>459</v>
      </c>
      <c r="H256" s="1" t="s">
        <v>17</v>
      </c>
      <c r="I256" s="1" t="s">
        <v>141</v>
      </c>
      <c r="J256" s="1" t="s">
        <v>19</v>
      </c>
      <c r="K256" s="1" t="s">
        <v>153</v>
      </c>
      <c r="L256" s="1" t="s">
        <v>21</v>
      </c>
    </row>
    <row r="257" spans="1:12" x14ac:dyDescent="0.25">
      <c r="A257" s="1" t="s">
        <v>854</v>
      </c>
      <c r="B257" s="1" t="s">
        <v>855</v>
      </c>
      <c r="C257" s="1" t="s">
        <v>856</v>
      </c>
      <c r="D257" s="1" t="s">
        <v>650</v>
      </c>
      <c r="E257" s="1" t="s">
        <v>115</v>
      </c>
      <c r="F257" s="1" t="s">
        <v>137</v>
      </c>
      <c r="G257" s="1" t="s">
        <v>75</v>
      </c>
      <c r="H257" s="1" t="s">
        <v>29</v>
      </c>
      <c r="I257" s="1" t="s">
        <v>106</v>
      </c>
      <c r="J257" s="1" t="s">
        <v>40</v>
      </c>
      <c r="K257" s="1" t="s">
        <v>163</v>
      </c>
      <c r="L257" s="1" t="s">
        <v>21</v>
      </c>
    </row>
    <row r="258" spans="1:12" x14ac:dyDescent="0.25">
      <c r="A258" s="1" t="s">
        <v>857</v>
      </c>
      <c r="B258" s="1" t="s">
        <v>120</v>
      </c>
      <c r="C258" s="1" t="s">
        <v>121</v>
      </c>
      <c r="D258" s="1" t="s">
        <v>13</v>
      </c>
      <c r="E258" s="1" t="s">
        <v>122</v>
      </c>
      <c r="F258" s="1" t="s">
        <v>391</v>
      </c>
      <c r="G258" s="1" t="s">
        <v>16</v>
      </c>
      <c r="H258" s="1" t="s">
        <v>17</v>
      </c>
      <c r="I258" s="1" t="s">
        <v>354</v>
      </c>
      <c r="J258" s="1" t="s">
        <v>19</v>
      </c>
      <c r="K258" s="1" t="s">
        <v>88</v>
      </c>
      <c r="L258" s="1" t="s">
        <v>21</v>
      </c>
    </row>
    <row r="259" spans="1:12" x14ac:dyDescent="0.25">
      <c r="A259" s="1" t="s">
        <v>858</v>
      </c>
      <c r="B259" s="1" t="s">
        <v>271</v>
      </c>
      <c r="C259" s="1" t="s">
        <v>272</v>
      </c>
      <c r="D259" s="1" t="s">
        <v>14</v>
      </c>
      <c r="E259" s="1" t="s">
        <v>189</v>
      </c>
      <c r="F259" s="1" t="s">
        <v>98</v>
      </c>
      <c r="G259" s="1" t="s">
        <v>16</v>
      </c>
      <c r="H259" s="1" t="s">
        <v>17</v>
      </c>
      <c r="I259" s="1" t="s">
        <v>54</v>
      </c>
      <c r="J259" s="1" t="s">
        <v>19</v>
      </c>
      <c r="K259" s="1" t="s">
        <v>258</v>
      </c>
      <c r="L259" s="1" t="s">
        <v>21</v>
      </c>
    </row>
    <row r="260" spans="1:12" x14ac:dyDescent="0.25">
      <c r="A260" s="1" t="s">
        <v>859</v>
      </c>
      <c r="B260" s="1" t="s">
        <v>43</v>
      </c>
      <c r="C260" s="1" t="s">
        <v>44</v>
      </c>
      <c r="D260" s="1" t="s">
        <v>35</v>
      </c>
      <c r="E260" s="1" t="s">
        <v>45</v>
      </c>
      <c r="F260" s="1" t="s">
        <v>46</v>
      </c>
      <c r="G260" s="1" t="s">
        <v>47</v>
      </c>
      <c r="H260" s="1" t="s">
        <v>29</v>
      </c>
      <c r="I260" s="1" t="s">
        <v>39</v>
      </c>
      <c r="J260" s="1" t="s">
        <v>40</v>
      </c>
      <c r="K260" s="1" t="s">
        <v>41</v>
      </c>
      <c r="L260" s="1" t="s">
        <v>21</v>
      </c>
    </row>
    <row r="261" spans="1:12" x14ac:dyDescent="0.25">
      <c r="A261" s="1" t="s">
        <v>860</v>
      </c>
      <c r="B261" s="1" t="s">
        <v>43</v>
      </c>
      <c r="C261" s="1" t="s">
        <v>44</v>
      </c>
      <c r="D261" s="1" t="s">
        <v>35</v>
      </c>
      <c r="E261" s="1" t="s">
        <v>45</v>
      </c>
      <c r="F261" s="1" t="s">
        <v>46</v>
      </c>
      <c r="G261" s="1" t="s">
        <v>47</v>
      </c>
      <c r="H261" s="1" t="s">
        <v>29</v>
      </c>
      <c r="I261" s="1" t="s">
        <v>39</v>
      </c>
      <c r="J261" s="1" t="s">
        <v>40</v>
      </c>
      <c r="K261" s="1" t="s">
        <v>41</v>
      </c>
      <c r="L261" s="1" t="s">
        <v>21</v>
      </c>
    </row>
    <row r="262" spans="1:12" x14ac:dyDescent="0.25">
      <c r="A262" s="1" t="s">
        <v>861</v>
      </c>
      <c r="B262" s="1" t="s">
        <v>829</v>
      </c>
      <c r="C262" s="1" t="s">
        <v>830</v>
      </c>
      <c r="D262" s="1" t="s">
        <v>14</v>
      </c>
      <c r="E262" s="1" t="s">
        <v>87</v>
      </c>
      <c r="F262" s="1" t="s">
        <v>81</v>
      </c>
      <c r="G262" s="1" t="s">
        <v>16</v>
      </c>
      <c r="H262" s="1" t="s">
        <v>29</v>
      </c>
      <c r="I262" s="1" t="s">
        <v>141</v>
      </c>
      <c r="J262" s="1" t="s">
        <v>19</v>
      </c>
      <c r="K262" s="1" t="s">
        <v>258</v>
      </c>
      <c r="L262" s="1" t="s">
        <v>21</v>
      </c>
    </row>
    <row r="263" spans="1:12" x14ac:dyDescent="0.25">
      <c r="A263" s="1" t="s">
        <v>862</v>
      </c>
      <c r="B263" s="1" t="s">
        <v>829</v>
      </c>
      <c r="C263" s="1" t="s">
        <v>830</v>
      </c>
      <c r="D263" s="1" t="s">
        <v>14</v>
      </c>
      <c r="E263" s="1" t="s">
        <v>352</v>
      </c>
      <c r="F263" s="1" t="s">
        <v>105</v>
      </c>
      <c r="G263" s="1" t="s">
        <v>16</v>
      </c>
      <c r="H263" s="1" t="s">
        <v>29</v>
      </c>
      <c r="I263" s="1" t="s">
        <v>141</v>
      </c>
      <c r="J263" s="1" t="s">
        <v>19</v>
      </c>
      <c r="K263" s="1" t="s">
        <v>258</v>
      </c>
      <c r="L263" s="1" t="s">
        <v>21</v>
      </c>
    </row>
    <row r="264" spans="1:12" x14ac:dyDescent="0.25">
      <c r="A264" s="1" t="s">
        <v>863</v>
      </c>
      <c r="B264" s="1" t="s">
        <v>78</v>
      </c>
      <c r="C264" s="1" t="s">
        <v>79</v>
      </c>
      <c r="D264" s="1" t="s">
        <v>51</v>
      </c>
      <c r="E264" s="1" t="s">
        <v>143</v>
      </c>
      <c r="F264" s="1" t="s">
        <v>144</v>
      </c>
      <c r="G264" s="1" t="s">
        <v>47</v>
      </c>
      <c r="H264" s="1" t="s">
        <v>29</v>
      </c>
      <c r="I264" s="1" t="s">
        <v>83</v>
      </c>
      <c r="J264" s="1" t="s">
        <v>40</v>
      </c>
      <c r="K264" s="1" t="s">
        <v>41</v>
      </c>
      <c r="L264" s="1" t="s">
        <v>21</v>
      </c>
    </row>
    <row r="265" spans="1:12" x14ac:dyDescent="0.25">
      <c r="A265" s="1" t="s">
        <v>864</v>
      </c>
      <c r="B265" s="1" t="s">
        <v>33</v>
      </c>
      <c r="C265" s="1" t="s">
        <v>34</v>
      </c>
      <c r="D265" s="1" t="s">
        <v>35</v>
      </c>
      <c r="E265" s="1" t="s">
        <v>146</v>
      </c>
      <c r="F265" s="1" t="s">
        <v>147</v>
      </c>
      <c r="G265" s="1" t="s">
        <v>16</v>
      </c>
      <c r="H265" s="1" t="s">
        <v>29</v>
      </c>
      <c r="I265" s="1" t="s">
        <v>39</v>
      </c>
      <c r="J265" s="1" t="s">
        <v>40</v>
      </c>
      <c r="K265" s="1" t="s">
        <v>41</v>
      </c>
      <c r="L265" s="1" t="s">
        <v>21</v>
      </c>
    </row>
    <row r="266" spans="1:12" x14ac:dyDescent="0.25">
      <c r="A266" s="1" t="s">
        <v>865</v>
      </c>
      <c r="B266" s="1" t="s">
        <v>866</v>
      </c>
      <c r="C266" s="1" t="s">
        <v>867</v>
      </c>
      <c r="D266" s="1" t="s">
        <v>13</v>
      </c>
      <c r="E266" s="1" t="s">
        <v>868</v>
      </c>
      <c r="F266" s="1" t="s">
        <v>46</v>
      </c>
      <c r="G266" s="1" t="s">
        <v>47</v>
      </c>
      <c r="H266" s="1" t="s">
        <v>29</v>
      </c>
      <c r="I266" s="1" t="s">
        <v>117</v>
      </c>
      <c r="J266" s="1" t="s">
        <v>40</v>
      </c>
      <c r="K266" s="1" t="s">
        <v>41</v>
      </c>
      <c r="L266" s="1" t="s">
        <v>21</v>
      </c>
    </row>
    <row r="267" spans="1:12" x14ac:dyDescent="0.25">
      <c r="A267" s="1" t="s">
        <v>869</v>
      </c>
      <c r="B267" s="1" t="s">
        <v>870</v>
      </c>
      <c r="C267" s="1" t="s">
        <v>871</v>
      </c>
      <c r="D267" s="1" t="s">
        <v>872</v>
      </c>
      <c r="E267" s="1" t="s">
        <v>237</v>
      </c>
      <c r="F267" s="1" t="s">
        <v>278</v>
      </c>
      <c r="G267" s="1" t="s">
        <v>327</v>
      </c>
      <c r="H267" s="1" t="s">
        <v>29</v>
      </c>
      <c r="I267" s="1" t="s">
        <v>18</v>
      </c>
      <c r="J267" s="1" t="s">
        <v>30</v>
      </c>
      <c r="K267" s="1" t="s">
        <v>873</v>
      </c>
      <c r="L267" s="1" t="s">
        <v>21</v>
      </c>
    </row>
    <row r="268" spans="1:12" x14ac:dyDescent="0.25">
      <c r="A268" s="1" t="s">
        <v>874</v>
      </c>
      <c r="B268" s="1" t="s">
        <v>875</v>
      </c>
      <c r="C268" s="1" t="s">
        <v>876</v>
      </c>
      <c r="D268" s="1" t="s">
        <v>13</v>
      </c>
      <c r="E268" s="1" t="s">
        <v>59</v>
      </c>
      <c r="F268" s="1" t="s">
        <v>476</v>
      </c>
      <c r="G268" s="1" t="s">
        <v>413</v>
      </c>
      <c r="H268" s="1" t="s">
        <v>29</v>
      </c>
      <c r="I268" s="1" t="s">
        <v>360</v>
      </c>
      <c r="J268" s="1" t="s">
        <v>19</v>
      </c>
      <c r="K268" s="1" t="s">
        <v>55</v>
      </c>
      <c r="L268" s="1" t="s">
        <v>21</v>
      </c>
    </row>
    <row r="269" spans="1:12" x14ac:dyDescent="0.25">
      <c r="A269" s="1" t="s">
        <v>877</v>
      </c>
      <c r="B269" s="1" t="s">
        <v>878</v>
      </c>
      <c r="C269" s="1" t="s">
        <v>879</v>
      </c>
      <c r="D269" s="1" t="s">
        <v>417</v>
      </c>
      <c r="E269" s="1" t="s">
        <v>880</v>
      </c>
      <c r="F269" s="1" t="s">
        <v>447</v>
      </c>
      <c r="G269" s="1" t="s">
        <v>174</v>
      </c>
      <c r="H269" s="1" t="s">
        <v>29</v>
      </c>
      <c r="I269" s="1" t="s">
        <v>117</v>
      </c>
      <c r="J269" s="1" t="s">
        <v>881</v>
      </c>
      <c r="K269" s="1" t="s">
        <v>882</v>
      </c>
      <c r="L269" s="1" t="s">
        <v>21</v>
      </c>
    </row>
    <row r="270" spans="1:12" x14ac:dyDescent="0.25">
      <c r="A270" s="1" t="s">
        <v>883</v>
      </c>
      <c r="B270" s="1" t="s">
        <v>78</v>
      </c>
      <c r="C270" s="1" t="s">
        <v>79</v>
      </c>
      <c r="D270" s="1" t="s">
        <v>35</v>
      </c>
      <c r="E270" s="1" t="s">
        <v>80</v>
      </c>
      <c r="F270" s="1" t="s">
        <v>171</v>
      </c>
      <c r="G270" s="1" t="s">
        <v>82</v>
      </c>
      <c r="H270" s="1" t="s">
        <v>29</v>
      </c>
      <c r="I270" s="1" t="s">
        <v>83</v>
      </c>
      <c r="J270" s="1" t="s">
        <v>40</v>
      </c>
      <c r="K270" s="1" t="s">
        <v>41</v>
      </c>
      <c r="L270" s="1" t="s">
        <v>21</v>
      </c>
    </row>
    <row r="271" spans="1:12" x14ac:dyDescent="0.25">
      <c r="A271" s="1" t="s">
        <v>884</v>
      </c>
      <c r="B271" s="1" t="s">
        <v>78</v>
      </c>
      <c r="C271" s="1" t="s">
        <v>79</v>
      </c>
      <c r="D271" s="1" t="s">
        <v>51</v>
      </c>
      <c r="E271" s="1" t="s">
        <v>173</v>
      </c>
      <c r="F271" s="1" t="s">
        <v>37</v>
      </c>
      <c r="G271" s="1" t="s">
        <v>174</v>
      </c>
      <c r="H271" s="1" t="s">
        <v>29</v>
      </c>
      <c r="I271" s="1" t="s">
        <v>83</v>
      </c>
      <c r="J271" s="1" t="s">
        <v>40</v>
      </c>
      <c r="K271" s="1" t="s">
        <v>41</v>
      </c>
      <c r="L271" s="1" t="s">
        <v>21</v>
      </c>
    </row>
    <row r="272" spans="1:12" x14ac:dyDescent="0.25">
      <c r="A272" s="1" t="s">
        <v>885</v>
      </c>
      <c r="B272" s="1" t="s">
        <v>886</v>
      </c>
      <c r="C272" s="1" t="s">
        <v>887</v>
      </c>
      <c r="D272" s="1" t="s">
        <v>13</v>
      </c>
      <c r="E272" s="1" t="s">
        <v>888</v>
      </c>
      <c r="F272" s="1" t="s">
        <v>200</v>
      </c>
      <c r="G272" s="1" t="s">
        <v>28</v>
      </c>
      <c r="H272" s="1" t="s">
        <v>17</v>
      </c>
      <c r="I272" s="1" t="s">
        <v>106</v>
      </c>
      <c r="J272" s="1" t="s">
        <v>19</v>
      </c>
      <c r="K272" s="1" t="s">
        <v>55</v>
      </c>
      <c r="L272" s="1" t="s">
        <v>21</v>
      </c>
    </row>
    <row r="273" spans="1:12" x14ac:dyDescent="0.25">
      <c r="A273" s="1" t="s">
        <v>889</v>
      </c>
      <c r="B273" s="1" t="s">
        <v>890</v>
      </c>
      <c r="C273" s="1" t="s">
        <v>891</v>
      </c>
      <c r="D273" s="1" t="s">
        <v>892</v>
      </c>
      <c r="E273" s="1" t="s">
        <v>352</v>
      </c>
      <c r="F273" s="1" t="s">
        <v>465</v>
      </c>
      <c r="G273" s="1" t="s">
        <v>503</v>
      </c>
      <c r="H273" s="1" t="s">
        <v>485</v>
      </c>
      <c r="I273" s="1" t="s">
        <v>360</v>
      </c>
      <c r="J273" s="1" t="s">
        <v>30</v>
      </c>
      <c r="K273" s="1" t="s">
        <v>153</v>
      </c>
      <c r="L273" s="1" t="s">
        <v>21</v>
      </c>
    </row>
    <row r="274" spans="1:12" x14ac:dyDescent="0.25">
      <c r="A274" s="1" t="s">
        <v>893</v>
      </c>
      <c r="B274" s="1" t="s">
        <v>78</v>
      </c>
      <c r="C274" s="1" t="s">
        <v>79</v>
      </c>
      <c r="D274" s="1" t="s">
        <v>51</v>
      </c>
      <c r="E274" s="1" t="s">
        <v>80</v>
      </c>
      <c r="F274" s="1" t="s">
        <v>81</v>
      </c>
      <c r="G274" s="1" t="s">
        <v>82</v>
      </c>
      <c r="H274" s="1" t="s">
        <v>29</v>
      </c>
      <c r="I274" s="1" t="s">
        <v>83</v>
      </c>
      <c r="J274" s="1" t="s">
        <v>40</v>
      </c>
      <c r="K274" s="1" t="s">
        <v>41</v>
      </c>
      <c r="L274" s="1" t="s">
        <v>21</v>
      </c>
    </row>
    <row r="275" spans="1:12" x14ac:dyDescent="0.25">
      <c r="A275" s="1" t="s">
        <v>894</v>
      </c>
      <c r="B275" s="1" t="s">
        <v>33</v>
      </c>
      <c r="C275" s="1" t="s">
        <v>34</v>
      </c>
      <c r="D275" s="1" t="s">
        <v>186</v>
      </c>
      <c r="E275" s="1" t="s">
        <v>80</v>
      </c>
      <c r="F275" s="1" t="s">
        <v>187</v>
      </c>
      <c r="G275" s="1" t="s">
        <v>38</v>
      </c>
      <c r="H275" s="1" t="s">
        <v>29</v>
      </c>
      <c r="I275" s="1" t="s">
        <v>39</v>
      </c>
      <c r="J275" s="1" t="s">
        <v>40</v>
      </c>
      <c r="K275" s="1" t="s">
        <v>41</v>
      </c>
      <c r="L275" s="1" t="s">
        <v>21</v>
      </c>
    </row>
    <row r="276" spans="1:12" x14ac:dyDescent="0.25">
      <c r="A276" s="1" t="s">
        <v>895</v>
      </c>
      <c r="B276" s="1" t="s">
        <v>896</v>
      </c>
      <c r="C276" s="1" t="s">
        <v>897</v>
      </c>
      <c r="D276" s="1" t="s">
        <v>13</v>
      </c>
      <c r="E276" s="1" t="s">
        <v>898</v>
      </c>
      <c r="F276" s="1" t="s">
        <v>595</v>
      </c>
      <c r="G276" s="1" t="s">
        <v>337</v>
      </c>
      <c r="H276" s="1" t="s">
        <v>17</v>
      </c>
      <c r="I276" s="1" t="s">
        <v>117</v>
      </c>
      <c r="J276" s="1" t="s">
        <v>30</v>
      </c>
      <c r="K276" s="1" t="s">
        <v>567</v>
      </c>
      <c r="L276" s="1" t="s">
        <v>21</v>
      </c>
    </row>
    <row r="277" spans="1:12" x14ac:dyDescent="0.25">
      <c r="A277" s="1" t="s">
        <v>899</v>
      </c>
      <c r="B277" s="1" t="s">
        <v>49</v>
      </c>
      <c r="C277" s="1" t="s">
        <v>50</v>
      </c>
      <c r="D277" s="1" t="s">
        <v>51</v>
      </c>
      <c r="E277" s="1" t="s">
        <v>52</v>
      </c>
      <c r="F277" s="1" t="s">
        <v>53</v>
      </c>
      <c r="G277" s="1" t="s">
        <v>16</v>
      </c>
      <c r="H277" s="1" t="s">
        <v>17</v>
      </c>
      <c r="I277" s="1" t="s">
        <v>54</v>
      </c>
      <c r="J277" s="1" t="s">
        <v>19</v>
      </c>
      <c r="K277" s="1" t="s">
        <v>55</v>
      </c>
      <c r="L277" s="1" t="s">
        <v>21</v>
      </c>
    </row>
    <row r="278" spans="1:12" x14ac:dyDescent="0.25">
      <c r="A278" s="1" t="s">
        <v>900</v>
      </c>
      <c r="B278" s="1" t="s">
        <v>901</v>
      </c>
      <c r="C278" s="1" t="s">
        <v>902</v>
      </c>
      <c r="D278" s="1" t="s">
        <v>157</v>
      </c>
      <c r="E278" s="1" t="s">
        <v>497</v>
      </c>
      <c r="F278" s="1" t="s">
        <v>257</v>
      </c>
      <c r="G278" s="1" t="s">
        <v>503</v>
      </c>
      <c r="H278" s="1" t="s">
        <v>17</v>
      </c>
      <c r="I278" s="1" t="s">
        <v>141</v>
      </c>
      <c r="J278" s="1" t="s">
        <v>19</v>
      </c>
      <c r="K278" s="1" t="s">
        <v>802</v>
      </c>
      <c r="L278" s="1" t="s">
        <v>21</v>
      </c>
    </row>
    <row r="279" spans="1:12" x14ac:dyDescent="0.25">
      <c r="A279" s="1" t="s">
        <v>903</v>
      </c>
      <c r="B279" s="1" t="s">
        <v>904</v>
      </c>
      <c r="C279" s="1" t="s">
        <v>905</v>
      </c>
      <c r="D279" s="1" t="s">
        <v>25</v>
      </c>
      <c r="E279" s="1" t="s">
        <v>109</v>
      </c>
      <c r="F279" s="1" t="s">
        <v>273</v>
      </c>
      <c r="G279" s="1" t="s">
        <v>337</v>
      </c>
      <c r="H279" s="1" t="s">
        <v>17</v>
      </c>
      <c r="I279" s="1" t="s">
        <v>141</v>
      </c>
      <c r="J279" s="1" t="s">
        <v>19</v>
      </c>
      <c r="K279" s="1" t="s">
        <v>55</v>
      </c>
      <c r="L279" s="1" t="s">
        <v>21</v>
      </c>
    </row>
    <row r="280" spans="1:12" x14ac:dyDescent="0.25">
      <c r="A280" s="1" t="s">
        <v>906</v>
      </c>
      <c r="B280" s="1" t="s">
        <v>78</v>
      </c>
      <c r="C280" s="1" t="s">
        <v>79</v>
      </c>
      <c r="D280" s="1" t="s">
        <v>178</v>
      </c>
      <c r="E280" s="1" t="s">
        <v>210</v>
      </c>
      <c r="F280" s="1" t="s">
        <v>211</v>
      </c>
      <c r="G280" s="1" t="s">
        <v>212</v>
      </c>
      <c r="H280" s="1" t="s">
        <v>29</v>
      </c>
      <c r="I280" s="1" t="s">
        <v>83</v>
      </c>
      <c r="J280" s="1" t="s">
        <v>40</v>
      </c>
      <c r="K280" s="1" t="s">
        <v>41</v>
      </c>
      <c r="L280" s="1" t="s">
        <v>21</v>
      </c>
    </row>
    <row r="281" spans="1:12" x14ac:dyDescent="0.25">
      <c r="A281" s="1" t="s">
        <v>907</v>
      </c>
      <c r="B281" s="1" t="s">
        <v>78</v>
      </c>
      <c r="C281" s="1" t="s">
        <v>214</v>
      </c>
      <c r="D281" s="1" t="s">
        <v>45</v>
      </c>
      <c r="E281" s="1" t="s">
        <v>215</v>
      </c>
      <c r="F281" s="1" t="s">
        <v>216</v>
      </c>
      <c r="G281" s="1" t="s">
        <v>82</v>
      </c>
      <c r="H281" s="1" t="s">
        <v>29</v>
      </c>
      <c r="I281" s="1" t="s">
        <v>83</v>
      </c>
      <c r="J281" s="1" t="s">
        <v>40</v>
      </c>
      <c r="K281" s="1" t="s">
        <v>41</v>
      </c>
      <c r="L281" s="1" t="s">
        <v>21</v>
      </c>
    </row>
    <row r="282" spans="1:12" x14ac:dyDescent="0.25">
      <c r="A282" s="1" t="s">
        <v>908</v>
      </c>
      <c r="B282" s="1" t="s">
        <v>909</v>
      </c>
      <c r="C282" s="1" t="s">
        <v>910</v>
      </c>
      <c r="D282" s="1" t="s">
        <v>14</v>
      </c>
      <c r="E282" s="1" t="s">
        <v>911</v>
      </c>
      <c r="F282" s="1" t="s">
        <v>147</v>
      </c>
      <c r="G282" s="1" t="s">
        <v>327</v>
      </c>
      <c r="H282" s="1" t="s">
        <v>17</v>
      </c>
      <c r="I282" s="1" t="s">
        <v>106</v>
      </c>
      <c r="J282" s="1" t="s">
        <v>30</v>
      </c>
      <c r="K282" s="1" t="s">
        <v>912</v>
      </c>
      <c r="L282" s="1" t="s">
        <v>21</v>
      </c>
    </row>
    <row r="283" spans="1:12" x14ac:dyDescent="0.25">
      <c r="A283" s="1" t="s">
        <v>913</v>
      </c>
      <c r="B283" s="1" t="s">
        <v>125</v>
      </c>
      <c r="C283" s="1" t="s">
        <v>126</v>
      </c>
      <c r="D283" s="1" t="s">
        <v>157</v>
      </c>
      <c r="E283" s="1" t="s">
        <v>914</v>
      </c>
      <c r="F283" s="1" t="s">
        <v>915</v>
      </c>
      <c r="G283" s="1" t="s">
        <v>129</v>
      </c>
      <c r="H283" s="1" t="s">
        <v>29</v>
      </c>
      <c r="I283" s="1" t="s">
        <v>54</v>
      </c>
      <c r="J283" s="1" t="s">
        <v>19</v>
      </c>
      <c r="K283" s="1" t="s">
        <v>69</v>
      </c>
      <c r="L283" s="1" t="s">
        <v>21</v>
      </c>
    </row>
    <row r="284" spans="1:12" x14ac:dyDescent="0.25">
      <c r="A284" s="1" t="s">
        <v>916</v>
      </c>
      <c r="B284" s="1" t="s">
        <v>917</v>
      </c>
      <c r="C284" s="1" t="s">
        <v>918</v>
      </c>
      <c r="D284" s="1" t="s">
        <v>919</v>
      </c>
      <c r="E284" s="1" t="s">
        <v>381</v>
      </c>
      <c r="F284" s="1" t="s">
        <v>447</v>
      </c>
      <c r="G284" s="1" t="s">
        <v>920</v>
      </c>
      <c r="H284" s="1" t="s">
        <v>29</v>
      </c>
      <c r="I284" s="1" t="s">
        <v>354</v>
      </c>
      <c r="J284" s="1" t="s">
        <v>19</v>
      </c>
      <c r="K284" s="1" t="s">
        <v>921</v>
      </c>
      <c r="L284" s="1" t="s">
        <v>21</v>
      </c>
    </row>
    <row r="285" spans="1:12" x14ac:dyDescent="0.25">
      <c r="A285" s="1" t="s">
        <v>922</v>
      </c>
      <c r="B285" s="1" t="s">
        <v>43</v>
      </c>
      <c r="C285" s="1" t="s">
        <v>44</v>
      </c>
      <c r="D285" s="1" t="s">
        <v>35</v>
      </c>
      <c r="E285" s="1" t="s">
        <v>45</v>
      </c>
      <c r="F285" s="1" t="s">
        <v>46</v>
      </c>
      <c r="G285" s="1" t="s">
        <v>47</v>
      </c>
      <c r="H285" s="1" t="s">
        <v>29</v>
      </c>
      <c r="I285" s="1" t="s">
        <v>39</v>
      </c>
      <c r="J285" s="1" t="s">
        <v>40</v>
      </c>
      <c r="K285" s="1" t="s">
        <v>41</v>
      </c>
      <c r="L285" s="1" t="s">
        <v>21</v>
      </c>
    </row>
    <row r="286" spans="1:12" x14ac:dyDescent="0.25">
      <c r="A286" s="1" t="s">
        <v>923</v>
      </c>
      <c r="B286" s="1" t="s">
        <v>49</v>
      </c>
      <c r="C286" s="1" t="s">
        <v>50</v>
      </c>
      <c r="D286" s="1" t="s">
        <v>924</v>
      </c>
      <c r="E286" s="1" t="s">
        <v>451</v>
      </c>
      <c r="F286" s="1" t="s">
        <v>353</v>
      </c>
      <c r="G286" s="1" t="s">
        <v>129</v>
      </c>
      <c r="H286" s="1" t="s">
        <v>29</v>
      </c>
      <c r="I286" s="1" t="s">
        <v>54</v>
      </c>
      <c r="J286" s="1" t="s">
        <v>19</v>
      </c>
      <c r="K286" s="1" t="s">
        <v>452</v>
      </c>
      <c r="L286" s="1" t="s">
        <v>21</v>
      </c>
    </row>
    <row r="287" spans="1:12" x14ac:dyDescent="0.25">
      <c r="A287" s="1" t="s">
        <v>925</v>
      </c>
      <c r="B287" s="1" t="s">
        <v>926</v>
      </c>
      <c r="C287" s="1" t="s">
        <v>927</v>
      </c>
      <c r="D287" s="1" t="s">
        <v>51</v>
      </c>
      <c r="E287" s="1" t="s">
        <v>173</v>
      </c>
      <c r="F287" s="1" t="s">
        <v>37</v>
      </c>
      <c r="G287" s="1" t="s">
        <v>47</v>
      </c>
      <c r="H287" s="1" t="s">
        <v>29</v>
      </c>
      <c r="I287" s="1" t="s">
        <v>117</v>
      </c>
      <c r="J287" s="1" t="s">
        <v>40</v>
      </c>
      <c r="K287" s="1" t="s">
        <v>41</v>
      </c>
      <c r="L287" s="1" t="s">
        <v>21</v>
      </c>
    </row>
    <row r="288" spans="1:12" x14ac:dyDescent="0.25">
      <c r="A288" s="1" t="s">
        <v>928</v>
      </c>
      <c r="B288" s="1" t="s">
        <v>929</v>
      </c>
      <c r="C288" s="1" t="s">
        <v>930</v>
      </c>
      <c r="D288" s="1" t="s">
        <v>51</v>
      </c>
      <c r="E288" s="1" t="s">
        <v>400</v>
      </c>
      <c r="F288" s="1" t="s">
        <v>220</v>
      </c>
      <c r="G288" s="1" t="s">
        <v>413</v>
      </c>
      <c r="H288" s="1" t="s">
        <v>17</v>
      </c>
      <c r="I288" s="1" t="s">
        <v>141</v>
      </c>
      <c r="J288" s="1" t="s">
        <v>19</v>
      </c>
      <c r="K288" s="1" t="s">
        <v>88</v>
      </c>
      <c r="L288" s="1" t="s">
        <v>21</v>
      </c>
    </row>
    <row r="289" spans="1:12" x14ac:dyDescent="0.25">
      <c r="A289" s="1" t="s">
        <v>931</v>
      </c>
      <c r="B289" s="1" t="s">
        <v>932</v>
      </c>
      <c r="C289" s="1" t="s">
        <v>933</v>
      </c>
      <c r="D289" s="1" t="s">
        <v>25</v>
      </c>
      <c r="E289" s="1" t="s">
        <v>52</v>
      </c>
      <c r="F289" s="1" t="s">
        <v>200</v>
      </c>
      <c r="G289" s="1" t="s">
        <v>129</v>
      </c>
      <c r="H289" s="1" t="s">
        <v>29</v>
      </c>
      <c r="I289" s="1" t="s">
        <v>141</v>
      </c>
      <c r="J289" s="1" t="s">
        <v>19</v>
      </c>
      <c r="K289" s="1" t="s">
        <v>88</v>
      </c>
      <c r="L289" s="1" t="s">
        <v>21</v>
      </c>
    </row>
    <row r="290" spans="1:12" x14ac:dyDescent="0.25">
      <c r="A290" s="1" t="s">
        <v>934</v>
      </c>
      <c r="B290" s="1" t="s">
        <v>33</v>
      </c>
      <c r="C290" s="1" t="s">
        <v>34</v>
      </c>
      <c r="D290" s="1" t="s">
        <v>35</v>
      </c>
      <c r="E290" s="1" t="s">
        <v>36</v>
      </c>
      <c r="F290" s="1" t="s">
        <v>37</v>
      </c>
      <c r="G290" s="1" t="s">
        <v>38</v>
      </c>
      <c r="H290" s="1" t="s">
        <v>29</v>
      </c>
      <c r="I290" s="1" t="s">
        <v>39</v>
      </c>
      <c r="J290" s="1" t="s">
        <v>40</v>
      </c>
      <c r="K290" s="1" t="s">
        <v>41</v>
      </c>
      <c r="L290" s="1" t="s">
        <v>21</v>
      </c>
    </row>
    <row r="291" spans="1:12" x14ac:dyDescent="0.25">
      <c r="A291" s="1" t="s">
        <v>935</v>
      </c>
      <c r="B291" s="1" t="s">
        <v>78</v>
      </c>
      <c r="C291" s="1" t="s">
        <v>79</v>
      </c>
      <c r="D291" s="1" t="s">
        <v>51</v>
      </c>
      <c r="E291" s="1" t="s">
        <v>80</v>
      </c>
      <c r="F291" s="1" t="s">
        <v>81</v>
      </c>
      <c r="G291" s="1" t="s">
        <v>82</v>
      </c>
      <c r="H291" s="1" t="s">
        <v>29</v>
      </c>
      <c r="I291" s="1" t="s">
        <v>83</v>
      </c>
      <c r="J291" s="1" t="s">
        <v>40</v>
      </c>
      <c r="K291" s="1" t="s">
        <v>41</v>
      </c>
      <c r="L291" s="1" t="s">
        <v>21</v>
      </c>
    </row>
    <row r="292" spans="1:12" x14ac:dyDescent="0.25">
      <c r="A292" s="1" t="s">
        <v>936</v>
      </c>
      <c r="B292" s="1" t="s">
        <v>937</v>
      </c>
      <c r="C292" s="1" t="s">
        <v>938</v>
      </c>
      <c r="D292" s="1" t="s">
        <v>51</v>
      </c>
      <c r="E292" s="1" t="s">
        <v>277</v>
      </c>
      <c r="F292" s="1" t="s">
        <v>60</v>
      </c>
      <c r="G292" s="1" t="s">
        <v>16</v>
      </c>
      <c r="H292" s="1" t="s">
        <v>29</v>
      </c>
      <c r="I292" s="1" t="s">
        <v>39</v>
      </c>
      <c r="J292" s="1" t="s">
        <v>30</v>
      </c>
      <c r="K292" s="1" t="s">
        <v>591</v>
      </c>
      <c r="L292" s="1" t="s">
        <v>21</v>
      </c>
    </row>
    <row r="293" spans="1:12" x14ac:dyDescent="0.25">
      <c r="A293" s="1" t="s">
        <v>939</v>
      </c>
      <c r="B293" s="1" t="s">
        <v>940</v>
      </c>
      <c r="C293" s="1" t="s">
        <v>941</v>
      </c>
      <c r="D293" s="1" t="s">
        <v>13</v>
      </c>
      <c r="E293" s="1" t="s">
        <v>52</v>
      </c>
      <c r="F293" s="1" t="s">
        <v>595</v>
      </c>
      <c r="G293" s="1" t="s">
        <v>16</v>
      </c>
      <c r="H293" s="1" t="s">
        <v>17</v>
      </c>
      <c r="I293" s="1" t="s">
        <v>141</v>
      </c>
      <c r="J293" s="1" t="s">
        <v>168</v>
      </c>
      <c r="K293" s="1" t="s">
        <v>258</v>
      </c>
      <c r="L293" s="1" t="s">
        <v>21</v>
      </c>
    </row>
    <row r="294" spans="1:12" x14ac:dyDescent="0.25">
      <c r="A294" s="1" t="s">
        <v>942</v>
      </c>
      <c r="B294" s="1" t="s">
        <v>78</v>
      </c>
      <c r="C294" s="1" t="s">
        <v>79</v>
      </c>
      <c r="D294" s="1" t="s">
        <v>96</v>
      </c>
      <c r="E294" s="1" t="s">
        <v>97</v>
      </c>
      <c r="F294" s="1" t="s">
        <v>98</v>
      </c>
      <c r="G294" s="1" t="s">
        <v>99</v>
      </c>
      <c r="H294" s="1" t="s">
        <v>29</v>
      </c>
      <c r="I294" s="1" t="s">
        <v>83</v>
      </c>
      <c r="J294" s="1" t="s">
        <v>40</v>
      </c>
      <c r="K294" s="1" t="s">
        <v>41</v>
      </c>
      <c r="L294" s="1" t="s">
        <v>21</v>
      </c>
    </row>
    <row r="295" spans="1:12" x14ac:dyDescent="0.25">
      <c r="A295" s="1" t="s">
        <v>943</v>
      </c>
      <c r="B295" s="1" t="s">
        <v>101</v>
      </c>
      <c r="C295" s="1" t="s">
        <v>102</v>
      </c>
      <c r="D295" s="1" t="s">
        <v>103</v>
      </c>
      <c r="E295" s="1" t="s">
        <v>104</v>
      </c>
      <c r="F295" s="1" t="s">
        <v>105</v>
      </c>
      <c r="G295" s="1" t="s">
        <v>47</v>
      </c>
      <c r="H295" s="1" t="s">
        <v>29</v>
      </c>
      <c r="I295" s="1" t="s">
        <v>106</v>
      </c>
      <c r="J295" s="1" t="s">
        <v>40</v>
      </c>
      <c r="K295" s="1" t="s">
        <v>41</v>
      </c>
      <c r="L295" s="1" t="s">
        <v>21</v>
      </c>
    </row>
    <row r="296" spans="1:12" x14ac:dyDescent="0.25">
      <c r="A296" s="1" t="s">
        <v>944</v>
      </c>
      <c r="B296" s="1" t="s">
        <v>929</v>
      </c>
      <c r="C296" s="1" t="s">
        <v>945</v>
      </c>
      <c r="D296" s="1" t="s">
        <v>51</v>
      </c>
      <c r="E296" s="1" t="s">
        <v>59</v>
      </c>
      <c r="F296" s="1" t="s">
        <v>60</v>
      </c>
      <c r="G296" s="1" t="s">
        <v>16</v>
      </c>
      <c r="H296" s="1" t="s">
        <v>17</v>
      </c>
      <c r="I296" s="1" t="s">
        <v>141</v>
      </c>
      <c r="J296" s="1" t="s">
        <v>30</v>
      </c>
      <c r="K296" s="1" t="s">
        <v>258</v>
      </c>
      <c r="L296" s="1" t="s">
        <v>21</v>
      </c>
    </row>
    <row r="297" spans="1:12" x14ac:dyDescent="0.25">
      <c r="A297" s="1" t="s">
        <v>946</v>
      </c>
      <c r="B297" s="1" t="s">
        <v>947</v>
      </c>
      <c r="C297" s="1" t="s">
        <v>948</v>
      </c>
      <c r="D297" s="1" t="s">
        <v>51</v>
      </c>
      <c r="E297" s="1" t="s">
        <v>92</v>
      </c>
      <c r="F297" s="1" t="s">
        <v>820</v>
      </c>
      <c r="G297" s="1" t="s">
        <v>16</v>
      </c>
      <c r="H297" s="1" t="s">
        <v>17</v>
      </c>
      <c r="I297" s="1" t="s">
        <v>354</v>
      </c>
      <c r="J297" s="1" t="s">
        <v>19</v>
      </c>
      <c r="K297" s="1" t="s">
        <v>55</v>
      </c>
      <c r="L297" s="1" t="s">
        <v>21</v>
      </c>
    </row>
    <row r="298" spans="1:12" x14ac:dyDescent="0.25">
      <c r="A298" s="1" t="s">
        <v>949</v>
      </c>
      <c r="B298" s="1" t="s">
        <v>950</v>
      </c>
      <c r="C298" s="1" t="s">
        <v>951</v>
      </c>
      <c r="D298" s="1" t="s">
        <v>650</v>
      </c>
      <c r="E298" s="1" t="s">
        <v>109</v>
      </c>
      <c r="F298" s="1" t="s">
        <v>207</v>
      </c>
      <c r="G298" s="1" t="s">
        <v>459</v>
      </c>
      <c r="H298" s="1" t="s">
        <v>17</v>
      </c>
      <c r="I298" s="1" t="s">
        <v>141</v>
      </c>
      <c r="J298" s="1" t="s">
        <v>19</v>
      </c>
      <c r="K298" s="1" t="s">
        <v>55</v>
      </c>
      <c r="L298" s="1" t="s">
        <v>21</v>
      </c>
    </row>
    <row r="299" spans="1:12" x14ac:dyDescent="0.25">
      <c r="A299" s="1" t="s">
        <v>952</v>
      </c>
      <c r="B299" s="1" t="s">
        <v>953</v>
      </c>
      <c r="C299" s="1" t="s">
        <v>954</v>
      </c>
      <c r="D299" s="1" t="s">
        <v>25</v>
      </c>
      <c r="E299" s="1" t="s">
        <v>381</v>
      </c>
      <c r="F299" s="1" t="s">
        <v>382</v>
      </c>
      <c r="G299" s="1" t="s">
        <v>955</v>
      </c>
      <c r="H299" s="1" t="s">
        <v>29</v>
      </c>
      <c r="I299" s="1" t="s">
        <v>360</v>
      </c>
      <c r="J299" s="1" t="s">
        <v>40</v>
      </c>
      <c r="K299" s="1" t="s">
        <v>55</v>
      </c>
      <c r="L299" s="1" t="s">
        <v>21</v>
      </c>
    </row>
    <row r="300" spans="1:12" x14ac:dyDescent="0.25">
      <c r="A300" s="1" t="s">
        <v>956</v>
      </c>
      <c r="B300" s="1" t="s">
        <v>43</v>
      </c>
      <c r="C300" s="1" t="s">
        <v>44</v>
      </c>
      <c r="D300" s="1" t="s">
        <v>35</v>
      </c>
      <c r="E300" s="1" t="s">
        <v>45</v>
      </c>
      <c r="F300" s="1" t="s">
        <v>46</v>
      </c>
      <c r="G300" s="1" t="s">
        <v>47</v>
      </c>
      <c r="H300" s="1" t="s">
        <v>29</v>
      </c>
      <c r="I300" s="1" t="s">
        <v>39</v>
      </c>
      <c r="J300" s="1" t="s">
        <v>40</v>
      </c>
      <c r="K300" s="1" t="s">
        <v>41</v>
      </c>
      <c r="L300" s="1" t="s">
        <v>21</v>
      </c>
    </row>
    <row r="301" spans="1:12" x14ac:dyDescent="0.25">
      <c r="A301" s="1" t="s">
        <v>957</v>
      </c>
      <c r="B301" s="1" t="s">
        <v>43</v>
      </c>
      <c r="C301" s="1" t="s">
        <v>44</v>
      </c>
      <c r="D301" s="1" t="s">
        <v>35</v>
      </c>
      <c r="E301" s="1" t="s">
        <v>45</v>
      </c>
      <c r="F301" s="1" t="s">
        <v>46</v>
      </c>
      <c r="G301" s="1" t="s">
        <v>47</v>
      </c>
      <c r="H301" s="1" t="s">
        <v>29</v>
      </c>
      <c r="I301" s="1" t="s">
        <v>39</v>
      </c>
      <c r="J301" s="1" t="s">
        <v>40</v>
      </c>
      <c r="K301" s="1" t="s">
        <v>41</v>
      </c>
      <c r="L301" s="1" t="s">
        <v>21</v>
      </c>
    </row>
    <row r="302" spans="1:12" x14ac:dyDescent="0.25">
      <c r="A302" s="1" t="s">
        <v>958</v>
      </c>
      <c r="B302" s="1" t="s">
        <v>120</v>
      </c>
      <c r="C302" s="1" t="s">
        <v>121</v>
      </c>
      <c r="D302" s="1" t="s">
        <v>13</v>
      </c>
      <c r="E302" s="1" t="s">
        <v>109</v>
      </c>
      <c r="F302" s="1" t="s">
        <v>412</v>
      </c>
      <c r="G302" s="1" t="s">
        <v>413</v>
      </c>
      <c r="H302" s="1" t="s">
        <v>17</v>
      </c>
      <c r="I302" s="1" t="s">
        <v>54</v>
      </c>
      <c r="J302" s="1" t="s">
        <v>19</v>
      </c>
      <c r="K302" s="1" t="s">
        <v>258</v>
      </c>
      <c r="L302" s="1" t="s">
        <v>21</v>
      </c>
    </row>
    <row r="303" spans="1:12" x14ac:dyDescent="0.25">
      <c r="A303" s="1" t="s">
        <v>959</v>
      </c>
      <c r="B303" s="1" t="s">
        <v>120</v>
      </c>
      <c r="C303" s="1" t="s">
        <v>121</v>
      </c>
      <c r="D303" s="1" t="s">
        <v>650</v>
      </c>
      <c r="E303" s="1" t="s">
        <v>109</v>
      </c>
      <c r="F303" s="1" t="s">
        <v>207</v>
      </c>
      <c r="G303" s="1" t="s">
        <v>413</v>
      </c>
      <c r="H303" s="1" t="s">
        <v>17</v>
      </c>
      <c r="I303" s="1" t="s">
        <v>54</v>
      </c>
      <c r="J303" s="1" t="s">
        <v>19</v>
      </c>
      <c r="K303" s="1" t="s">
        <v>55</v>
      </c>
      <c r="L303" s="1" t="s">
        <v>21</v>
      </c>
    </row>
    <row r="304" spans="1:12" x14ac:dyDescent="0.25">
      <c r="A304" s="1" t="s">
        <v>960</v>
      </c>
      <c r="B304" s="1" t="s">
        <v>78</v>
      </c>
      <c r="C304" s="1" t="s">
        <v>79</v>
      </c>
      <c r="D304" s="1" t="s">
        <v>51</v>
      </c>
      <c r="E304" s="1" t="s">
        <v>143</v>
      </c>
      <c r="F304" s="1" t="s">
        <v>144</v>
      </c>
      <c r="G304" s="1" t="s">
        <v>47</v>
      </c>
      <c r="H304" s="1" t="s">
        <v>29</v>
      </c>
      <c r="I304" s="1" t="s">
        <v>83</v>
      </c>
      <c r="J304" s="1" t="s">
        <v>40</v>
      </c>
      <c r="K304" s="1" t="s">
        <v>41</v>
      </c>
      <c r="L304" s="1" t="s">
        <v>21</v>
      </c>
    </row>
    <row r="305" spans="1:12" x14ac:dyDescent="0.25">
      <c r="A305" s="1" t="s">
        <v>961</v>
      </c>
      <c r="B305" s="1" t="s">
        <v>33</v>
      </c>
      <c r="C305" s="1" t="s">
        <v>34</v>
      </c>
      <c r="D305" s="1" t="s">
        <v>35</v>
      </c>
      <c r="E305" s="1" t="s">
        <v>146</v>
      </c>
      <c r="F305" s="1" t="s">
        <v>147</v>
      </c>
      <c r="G305" s="1" t="s">
        <v>38</v>
      </c>
      <c r="H305" s="1" t="s">
        <v>29</v>
      </c>
      <c r="I305" s="1" t="s">
        <v>39</v>
      </c>
      <c r="J305" s="1" t="s">
        <v>40</v>
      </c>
      <c r="K305" s="1" t="s">
        <v>41</v>
      </c>
      <c r="L305" s="1" t="s">
        <v>21</v>
      </c>
    </row>
    <row r="306" spans="1:12" x14ac:dyDescent="0.25">
      <c r="A306" s="1" t="s">
        <v>962</v>
      </c>
      <c r="B306" s="1" t="s">
        <v>120</v>
      </c>
      <c r="C306" s="1" t="s">
        <v>121</v>
      </c>
      <c r="D306" s="1" t="s">
        <v>14</v>
      </c>
      <c r="E306" s="1" t="s">
        <v>268</v>
      </c>
      <c r="F306" s="1" t="s">
        <v>837</v>
      </c>
      <c r="G306" s="1" t="s">
        <v>129</v>
      </c>
      <c r="H306" s="1" t="s">
        <v>17</v>
      </c>
      <c r="I306" s="1" t="s">
        <v>54</v>
      </c>
      <c r="J306" s="1" t="s">
        <v>19</v>
      </c>
      <c r="K306" s="1" t="s">
        <v>88</v>
      </c>
      <c r="L306" s="1" t="s">
        <v>21</v>
      </c>
    </row>
    <row r="307" spans="1:12" x14ac:dyDescent="0.25">
      <c r="A307" s="1" t="s">
        <v>963</v>
      </c>
      <c r="B307" s="1" t="s">
        <v>139</v>
      </c>
      <c r="C307" s="1" t="s">
        <v>140</v>
      </c>
      <c r="D307" s="1" t="s">
        <v>13</v>
      </c>
      <c r="E307" s="1" t="s">
        <v>87</v>
      </c>
      <c r="F307" s="1" t="s">
        <v>60</v>
      </c>
      <c r="G307" s="1" t="s">
        <v>16</v>
      </c>
      <c r="H307" s="1" t="s">
        <v>17</v>
      </c>
      <c r="I307" s="1" t="s">
        <v>141</v>
      </c>
      <c r="J307" s="1" t="s">
        <v>19</v>
      </c>
      <c r="K307" s="1" t="s">
        <v>88</v>
      </c>
      <c r="L307" s="1" t="s">
        <v>21</v>
      </c>
    </row>
    <row r="308" spans="1:12" x14ac:dyDescent="0.25">
      <c r="A308" s="1" t="s">
        <v>964</v>
      </c>
      <c r="B308" s="1" t="s">
        <v>965</v>
      </c>
      <c r="C308" s="1" t="s">
        <v>966</v>
      </c>
      <c r="D308" s="1" t="s">
        <v>51</v>
      </c>
      <c r="E308" s="1" t="s">
        <v>87</v>
      </c>
      <c r="F308" s="1" t="s">
        <v>405</v>
      </c>
      <c r="G308" s="1" t="s">
        <v>16</v>
      </c>
      <c r="H308" s="1" t="s">
        <v>17</v>
      </c>
      <c r="I308" s="1" t="s">
        <v>54</v>
      </c>
      <c r="J308" s="1" t="s">
        <v>168</v>
      </c>
      <c r="K308" s="1" t="s">
        <v>258</v>
      </c>
      <c r="L308" s="1" t="s">
        <v>21</v>
      </c>
    </row>
    <row r="309" spans="1:12" x14ac:dyDescent="0.25">
      <c r="A309" s="1" t="s">
        <v>967</v>
      </c>
      <c r="B309" s="1" t="s">
        <v>120</v>
      </c>
      <c r="C309" s="1" t="s">
        <v>121</v>
      </c>
      <c r="D309" s="1" t="s">
        <v>51</v>
      </c>
      <c r="E309" s="1" t="s">
        <v>87</v>
      </c>
      <c r="F309" s="1" t="s">
        <v>405</v>
      </c>
      <c r="G309" s="1" t="s">
        <v>16</v>
      </c>
      <c r="H309" s="1" t="s">
        <v>17</v>
      </c>
      <c r="I309" s="1" t="s">
        <v>54</v>
      </c>
      <c r="J309" s="1" t="s">
        <v>19</v>
      </c>
      <c r="K309" s="1" t="s">
        <v>258</v>
      </c>
      <c r="L309" s="1" t="s">
        <v>21</v>
      </c>
    </row>
    <row r="310" spans="1:12" x14ac:dyDescent="0.25">
      <c r="A310" s="1" t="s">
        <v>968</v>
      </c>
      <c r="B310" s="1" t="s">
        <v>78</v>
      </c>
      <c r="C310" s="1" t="s">
        <v>79</v>
      </c>
      <c r="D310" s="1" t="s">
        <v>35</v>
      </c>
      <c r="E310" s="1" t="s">
        <v>80</v>
      </c>
      <c r="F310" s="1" t="s">
        <v>171</v>
      </c>
      <c r="G310" s="1" t="s">
        <v>82</v>
      </c>
      <c r="H310" s="1" t="s">
        <v>29</v>
      </c>
      <c r="I310" s="1" t="s">
        <v>83</v>
      </c>
      <c r="J310" s="1" t="s">
        <v>40</v>
      </c>
      <c r="K310" s="1" t="s">
        <v>41</v>
      </c>
      <c r="L310" s="1" t="s">
        <v>21</v>
      </c>
    </row>
    <row r="311" spans="1:12" x14ac:dyDescent="0.25">
      <c r="A311" s="1" t="s">
        <v>969</v>
      </c>
      <c r="B311" s="1" t="s">
        <v>78</v>
      </c>
      <c r="C311" s="1" t="s">
        <v>79</v>
      </c>
      <c r="D311" s="1" t="s">
        <v>51</v>
      </c>
      <c r="E311" s="1" t="s">
        <v>173</v>
      </c>
      <c r="F311" s="1" t="s">
        <v>37</v>
      </c>
      <c r="G311" s="1" t="s">
        <v>174</v>
      </c>
      <c r="H311" s="1" t="s">
        <v>29</v>
      </c>
      <c r="I311" s="1" t="s">
        <v>83</v>
      </c>
      <c r="J311" s="1" t="s">
        <v>40</v>
      </c>
      <c r="K311" s="1" t="s">
        <v>41</v>
      </c>
      <c r="L311" s="1" t="s">
        <v>21</v>
      </c>
    </row>
    <row r="312" spans="1:12" x14ac:dyDescent="0.25">
      <c r="A312" s="1" t="s">
        <v>970</v>
      </c>
      <c r="B312" s="1" t="s">
        <v>929</v>
      </c>
      <c r="C312" s="1" t="s">
        <v>930</v>
      </c>
      <c r="D312" s="1" t="s">
        <v>51</v>
      </c>
      <c r="E312" s="1" t="s">
        <v>122</v>
      </c>
      <c r="F312" s="1" t="s">
        <v>123</v>
      </c>
      <c r="G312" s="1" t="s">
        <v>16</v>
      </c>
      <c r="H312" s="1" t="s">
        <v>29</v>
      </c>
      <c r="I312" s="1" t="s">
        <v>141</v>
      </c>
      <c r="J312" s="1" t="s">
        <v>971</v>
      </c>
      <c r="K312" s="1" t="s">
        <v>258</v>
      </c>
      <c r="L312" s="1" t="s">
        <v>21</v>
      </c>
    </row>
    <row r="313" spans="1:12" x14ac:dyDescent="0.25">
      <c r="A313" s="1" t="s">
        <v>972</v>
      </c>
      <c r="B313" s="1" t="s">
        <v>120</v>
      </c>
      <c r="C313" s="1" t="s">
        <v>121</v>
      </c>
      <c r="D313" s="1" t="s">
        <v>51</v>
      </c>
      <c r="E313" s="1" t="s">
        <v>256</v>
      </c>
      <c r="F313" s="1" t="s">
        <v>257</v>
      </c>
      <c r="G313" s="1" t="s">
        <v>16</v>
      </c>
      <c r="H313" s="1" t="s">
        <v>17</v>
      </c>
      <c r="I313" s="1" t="s">
        <v>54</v>
      </c>
      <c r="J313" s="1" t="s">
        <v>30</v>
      </c>
      <c r="K313" s="1" t="s">
        <v>258</v>
      </c>
      <c r="L313" s="1" t="s">
        <v>21</v>
      </c>
    </row>
    <row r="314" spans="1:12" x14ac:dyDescent="0.25">
      <c r="A314" s="1" t="s">
        <v>973</v>
      </c>
      <c r="B314" s="1" t="s">
        <v>78</v>
      </c>
      <c r="C314" s="1" t="s">
        <v>79</v>
      </c>
      <c r="D314" s="1" t="s">
        <v>51</v>
      </c>
      <c r="E314" s="1" t="s">
        <v>80</v>
      </c>
      <c r="F314" s="1" t="s">
        <v>81</v>
      </c>
      <c r="G314" s="1" t="s">
        <v>82</v>
      </c>
      <c r="H314" s="1" t="s">
        <v>29</v>
      </c>
      <c r="I314" s="1" t="s">
        <v>83</v>
      </c>
      <c r="J314" s="1" t="s">
        <v>40</v>
      </c>
      <c r="K314" s="1" t="s">
        <v>41</v>
      </c>
      <c r="L314" s="1" t="s">
        <v>21</v>
      </c>
    </row>
    <row r="315" spans="1:12" x14ac:dyDescent="0.25">
      <c r="A315" s="1" t="s">
        <v>974</v>
      </c>
      <c r="B315" s="1" t="s">
        <v>33</v>
      </c>
      <c r="C315" s="1" t="s">
        <v>34</v>
      </c>
      <c r="D315" s="1" t="s">
        <v>186</v>
      </c>
      <c r="E315" s="1" t="s">
        <v>80</v>
      </c>
      <c r="F315" s="1" t="s">
        <v>187</v>
      </c>
      <c r="G315" s="1" t="s">
        <v>38</v>
      </c>
      <c r="H315" s="1" t="s">
        <v>29</v>
      </c>
      <c r="I315" s="1" t="s">
        <v>39</v>
      </c>
      <c r="J315" s="1" t="s">
        <v>40</v>
      </c>
      <c r="K315" s="1" t="s">
        <v>41</v>
      </c>
      <c r="L315" s="1" t="s">
        <v>21</v>
      </c>
    </row>
    <row r="316" spans="1:12" x14ac:dyDescent="0.25">
      <c r="A316" s="1" t="s">
        <v>975</v>
      </c>
      <c r="B316" s="1" t="s">
        <v>120</v>
      </c>
      <c r="C316" s="1" t="s">
        <v>121</v>
      </c>
      <c r="D316" s="1" t="s">
        <v>51</v>
      </c>
      <c r="E316" s="1" t="s">
        <v>256</v>
      </c>
      <c r="F316" s="1" t="s">
        <v>257</v>
      </c>
      <c r="G316" s="1" t="s">
        <v>16</v>
      </c>
      <c r="H316" s="1" t="s">
        <v>17</v>
      </c>
      <c r="I316" s="1" t="s">
        <v>54</v>
      </c>
      <c r="J316" s="1" t="s">
        <v>976</v>
      </c>
      <c r="K316" s="1" t="s">
        <v>258</v>
      </c>
      <c r="L316" s="1" t="s">
        <v>21</v>
      </c>
    </row>
    <row r="317" spans="1:12" x14ac:dyDescent="0.25">
      <c r="A317" s="1" t="s">
        <v>977</v>
      </c>
      <c r="B317" s="1" t="s">
        <v>120</v>
      </c>
      <c r="C317" s="1" t="s">
        <v>121</v>
      </c>
      <c r="D317" s="1" t="s">
        <v>51</v>
      </c>
      <c r="E317" s="1" t="s">
        <v>256</v>
      </c>
      <c r="F317" s="1" t="s">
        <v>257</v>
      </c>
      <c r="G317" s="1" t="s">
        <v>16</v>
      </c>
      <c r="H317" s="1" t="s">
        <v>17</v>
      </c>
      <c r="I317" s="1" t="s">
        <v>54</v>
      </c>
      <c r="J317" s="1" t="s">
        <v>30</v>
      </c>
      <c r="K317" s="1" t="s">
        <v>258</v>
      </c>
      <c r="L317" s="1" t="s">
        <v>21</v>
      </c>
    </row>
    <row r="318" spans="1:12" x14ac:dyDescent="0.25">
      <c r="A318" s="1" t="s">
        <v>978</v>
      </c>
      <c r="B318" s="1" t="s">
        <v>120</v>
      </c>
      <c r="C318" s="1" t="s">
        <v>121</v>
      </c>
      <c r="D318" s="1" t="s">
        <v>51</v>
      </c>
      <c r="E318" s="1" t="s">
        <v>122</v>
      </c>
      <c r="F318" s="1" t="s">
        <v>123</v>
      </c>
      <c r="G318" s="1" t="s">
        <v>16</v>
      </c>
      <c r="H318" s="1" t="s">
        <v>17</v>
      </c>
      <c r="I318" s="1" t="s">
        <v>54</v>
      </c>
      <c r="J318" s="1" t="s">
        <v>19</v>
      </c>
      <c r="K318" s="1" t="s">
        <v>258</v>
      </c>
      <c r="L318" s="1" t="s">
        <v>21</v>
      </c>
    </row>
    <row r="319" spans="1:12" x14ac:dyDescent="0.25">
      <c r="A319" s="1" t="s">
        <v>979</v>
      </c>
      <c r="B319" s="1" t="s">
        <v>120</v>
      </c>
      <c r="C319" s="1" t="s">
        <v>121</v>
      </c>
      <c r="D319" s="1" t="s">
        <v>51</v>
      </c>
      <c r="E319" s="1" t="s">
        <v>122</v>
      </c>
      <c r="F319" s="1" t="s">
        <v>123</v>
      </c>
      <c r="G319" s="1" t="s">
        <v>16</v>
      </c>
      <c r="H319" s="1" t="s">
        <v>17</v>
      </c>
      <c r="I319" s="1" t="s">
        <v>54</v>
      </c>
      <c r="J319" s="1" t="s">
        <v>19</v>
      </c>
      <c r="K319" s="1" t="s">
        <v>258</v>
      </c>
      <c r="L319" s="1" t="s">
        <v>21</v>
      </c>
    </row>
    <row r="320" spans="1:12" x14ac:dyDescent="0.25">
      <c r="A320" s="1" t="s">
        <v>980</v>
      </c>
      <c r="B320" s="1" t="s">
        <v>78</v>
      </c>
      <c r="C320" s="1" t="s">
        <v>79</v>
      </c>
      <c r="D320" s="1" t="s">
        <v>178</v>
      </c>
      <c r="E320" s="1" t="s">
        <v>210</v>
      </c>
      <c r="F320" s="1" t="s">
        <v>211</v>
      </c>
      <c r="G320" s="1" t="s">
        <v>212</v>
      </c>
      <c r="H320" s="1" t="s">
        <v>29</v>
      </c>
      <c r="I320" s="1" t="s">
        <v>83</v>
      </c>
      <c r="J320" s="1" t="s">
        <v>40</v>
      </c>
      <c r="K320" s="1" t="s">
        <v>41</v>
      </c>
      <c r="L320" s="1" t="s">
        <v>21</v>
      </c>
    </row>
    <row r="321" spans="1:12" x14ac:dyDescent="0.25">
      <c r="A321" s="1" t="s">
        <v>981</v>
      </c>
      <c r="B321" s="1" t="s">
        <v>78</v>
      </c>
      <c r="C321" s="1" t="s">
        <v>214</v>
      </c>
      <c r="D321" s="1" t="s">
        <v>45</v>
      </c>
      <c r="E321" s="1" t="s">
        <v>215</v>
      </c>
      <c r="F321" s="1" t="s">
        <v>216</v>
      </c>
      <c r="G321" s="1" t="s">
        <v>82</v>
      </c>
      <c r="H321" s="1" t="s">
        <v>29</v>
      </c>
      <c r="I321" s="1" t="s">
        <v>83</v>
      </c>
      <c r="J321" s="1" t="s">
        <v>40</v>
      </c>
      <c r="K321" s="1" t="s">
        <v>41</v>
      </c>
      <c r="L321" s="1" t="s">
        <v>21</v>
      </c>
    </row>
    <row r="322" spans="1:12" x14ac:dyDescent="0.25">
      <c r="A322" s="1" t="s">
        <v>982</v>
      </c>
      <c r="B322" s="1" t="s">
        <v>218</v>
      </c>
      <c r="C322" s="1" t="s">
        <v>219</v>
      </c>
      <c r="D322" s="1" t="s">
        <v>51</v>
      </c>
      <c r="E322" s="1" t="s">
        <v>109</v>
      </c>
      <c r="F322" s="1" t="s">
        <v>220</v>
      </c>
      <c r="G322" s="1" t="s">
        <v>16</v>
      </c>
      <c r="H322" s="1" t="s">
        <v>17</v>
      </c>
      <c r="I322" s="1" t="s">
        <v>141</v>
      </c>
      <c r="J322" s="1" t="s">
        <v>19</v>
      </c>
      <c r="K322" s="1" t="s">
        <v>55</v>
      </c>
      <c r="L322" s="1" t="s">
        <v>21</v>
      </c>
    </row>
    <row r="323" spans="1:12" x14ac:dyDescent="0.25">
      <c r="A323" s="1" t="s">
        <v>983</v>
      </c>
      <c r="B323" s="1" t="s">
        <v>120</v>
      </c>
      <c r="C323" s="1" t="s">
        <v>121</v>
      </c>
      <c r="D323" s="1" t="s">
        <v>51</v>
      </c>
      <c r="E323" s="1" t="s">
        <v>400</v>
      </c>
      <c r="F323" s="1" t="s">
        <v>220</v>
      </c>
      <c r="G323" s="1" t="s">
        <v>16</v>
      </c>
      <c r="H323" s="1" t="s">
        <v>17</v>
      </c>
      <c r="I323" s="1" t="s">
        <v>54</v>
      </c>
      <c r="J323" s="1" t="s">
        <v>19</v>
      </c>
      <c r="K323" s="1" t="s">
        <v>88</v>
      </c>
      <c r="L323" s="1" t="s">
        <v>21</v>
      </c>
    </row>
    <row r="324" spans="1:12" x14ac:dyDescent="0.25">
      <c r="A324" s="1" t="s">
        <v>984</v>
      </c>
      <c r="B324" s="1" t="s">
        <v>985</v>
      </c>
      <c r="C324" s="1" t="s">
        <v>986</v>
      </c>
      <c r="D324" s="1" t="s">
        <v>987</v>
      </c>
      <c r="E324" s="1" t="s">
        <v>988</v>
      </c>
      <c r="F324" s="1" t="s">
        <v>472</v>
      </c>
      <c r="G324" s="1" t="s">
        <v>129</v>
      </c>
      <c r="H324" s="1" t="s">
        <v>29</v>
      </c>
      <c r="I324" s="1" t="s">
        <v>141</v>
      </c>
      <c r="J324" s="1" t="s">
        <v>30</v>
      </c>
      <c r="K324" s="1" t="s">
        <v>153</v>
      </c>
      <c r="L324" s="1" t="s">
        <v>21</v>
      </c>
    </row>
    <row r="325" spans="1:12" x14ac:dyDescent="0.25">
      <c r="A325" s="1" t="s">
        <v>989</v>
      </c>
      <c r="B325" s="1" t="s">
        <v>43</v>
      </c>
      <c r="C325" s="1" t="s">
        <v>44</v>
      </c>
      <c r="D325" s="1" t="s">
        <v>35</v>
      </c>
      <c r="E325" s="1" t="s">
        <v>45</v>
      </c>
      <c r="F325" s="1" t="s">
        <v>46</v>
      </c>
      <c r="G325" s="1" t="s">
        <v>47</v>
      </c>
      <c r="H325" s="1" t="s">
        <v>29</v>
      </c>
      <c r="I325" s="1" t="s">
        <v>39</v>
      </c>
      <c r="J325" s="1" t="s">
        <v>40</v>
      </c>
      <c r="K325" s="1" t="s">
        <v>41</v>
      </c>
      <c r="L325" s="1" t="s">
        <v>21</v>
      </c>
    </row>
    <row r="326" spans="1:12" x14ac:dyDescent="0.25">
      <c r="A326" s="1" t="s">
        <v>990</v>
      </c>
      <c r="B326" s="1" t="s">
        <v>991</v>
      </c>
      <c r="C326" s="1" t="s">
        <v>992</v>
      </c>
      <c r="D326" s="1" t="s">
        <v>993</v>
      </c>
      <c r="E326" s="1" t="s">
        <v>732</v>
      </c>
      <c r="F326" s="1" t="s">
        <v>278</v>
      </c>
      <c r="G326" s="1" t="s">
        <v>99</v>
      </c>
      <c r="H326" s="1" t="s">
        <v>29</v>
      </c>
      <c r="I326" s="1" t="s">
        <v>141</v>
      </c>
      <c r="J326" s="1" t="s">
        <v>168</v>
      </c>
      <c r="K326" s="1" t="s">
        <v>169</v>
      </c>
      <c r="L326" s="1" t="s">
        <v>21</v>
      </c>
    </row>
    <row r="327" spans="1:12" x14ac:dyDescent="0.25">
      <c r="A327" s="1" t="s">
        <v>994</v>
      </c>
      <c r="B327" s="1" t="s">
        <v>271</v>
      </c>
      <c r="C327" s="1" t="s">
        <v>272</v>
      </c>
      <c r="D327" s="1" t="s">
        <v>14</v>
      </c>
      <c r="E327" s="1" t="s">
        <v>189</v>
      </c>
      <c r="F327" s="1" t="s">
        <v>98</v>
      </c>
      <c r="G327" s="1" t="s">
        <v>16</v>
      </c>
      <c r="H327" s="1" t="s">
        <v>17</v>
      </c>
      <c r="I327" s="1" t="s">
        <v>39</v>
      </c>
      <c r="J327" s="1" t="s">
        <v>19</v>
      </c>
      <c r="K327" s="1" t="s">
        <v>258</v>
      </c>
      <c r="L327" s="1" t="s">
        <v>21</v>
      </c>
    </row>
    <row r="328" spans="1:12" x14ac:dyDescent="0.25">
      <c r="A328" s="1" t="s">
        <v>995</v>
      </c>
      <c r="B328" s="1" t="s">
        <v>120</v>
      </c>
      <c r="C328" s="1" t="s">
        <v>121</v>
      </c>
      <c r="D328" s="1" t="s">
        <v>13</v>
      </c>
      <c r="E328" s="1" t="s">
        <v>352</v>
      </c>
      <c r="F328" s="1" t="s">
        <v>391</v>
      </c>
      <c r="G328" s="1" t="s">
        <v>16</v>
      </c>
      <c r="H328" s="1" t="s">
        <v>17</v>
      </c>
      <c r="I328" s="1" t="s">
        <v>54</v>
      </c>
      <c r="J328" s="1" t="s">
        <v>19</v>
      </c>
      <c r="K328" s="1" t="s">
        <v>88</v>
      </c>
      <c r="L328" s="1" t="s">
        <v>21</v>
      </c>
    </row>
    <row r="329" spans="1:12" x14ac:dyDescent="0.25">
      <c r="A329" s="1" t="s">
        <v>996</v>
      </c>
      <c r="B329" s="1" t="s">
        <v>120</v>
      </c>
      <c r="C329" s="1" t="s">
        <v>121</v>
      </c>
      <c r="D329" s="1" t="s">
        <v>14</v>
      </c>
      <c r="E329" s="1" t="s">
        <v>189</v>
      </c>
      <c r="F329" s="1" t="s">
        <v>98</v>
      </c>
      <c r="G329" s="1" t="s">
        <v>16</v>
      </c>
      <c r="H329" s="1" t="s">
        <v>17</v>
      </c>
      <c r="I329" s="1" t="s">
        <v>54</v>
      </c>
      <c r="J329" s="1" t="s">
        <v>19</v>
      </c>
      <c r="K329" s="1" t="s">
        <v>258</v>
      </c>
      <c r="L329" s="1" t="s">
        <v>21</v>
      </c>
    </row>
    <row r="330" spans="1:12" x14ac:dyDescent="0.25">
      <c r="A330" s="1" t="s">
        <v>997</v>
      </c>
      <c r="B330" s="1" t="s">
        <v>33</v>
      </c>
      <c r="C330" s="1" t="s">
        <v>34</v>
      </c>
      <c r="D330" s="1" t="s">
        <v>35</v>
      </c>
      <c r="E330" s="1" t="s">
        <v>36</v>
      </c>
      <c r="F330" s="1" t="s">
        <v>37</v>
      </c>
      <c r="G330" s="1" t="s">
        <v>38</v>
      </c>
      <c r="H330" s="1" t="s">
        <v>29</v>
      </c>
      <c r="I330" s="1" t="s">
        <v>39</v>
      </c>
      <c r="J330" s="1" t="s">
        <v>40</v>
      </c>
      <c r="K330" s="1" t="s">
        <v>41</v>
      </c>
      <c r="L330" s="1" t="s">
        <v>21</v>
      </c>
    </row>
    <row r="331" spans="1:12" x14ac:dyDescent="0.25">
      <c r="A331" s="1" t="s">
        <v>998</v>
      </c>
      <c r="B331" s="1" t="s">
        <v>78</v>
      </c>
      <c r="C331" s="1" t="s">
        <v>79</v>
      </c>
      <c r="D331" s="1" t="s">
        <v>51</v>
      </c>
      <c r="E331" s="1" t="s">
        <v>80</v>
      </c>
      <c r="F331" s="1" t="s">
        <v>81</v>
      </c>
      <c r="G331" s="1" t="s">
        <v>82</v>
      </c>
      <c r="H331" s="1" t="s">
        <v>29</v>
      </c>
      <c r="I331" s="1" t="s">
        <v>83</v>
      </c>
      <c r="J331" s="1" t="s">
        <v>40</v>
      </c>
      <c r="K331" s="1" t="s">
        <v>41</v>
      </c>
      <c r="L331" s="1" t="s">
        <v>21</v>
      </c>
    </row>
    <row r="332" spans="1:12" x14ac:dyDescent="0.25">
      <c r="A332" s="1" t="s">
        <v>999</v>
      </c>
      <c r="B332" s="1" t="s">
        <v>120</v>
      </c>
      <c r="C332" s="1" t="s">
        <v>121</v>
      </c>
      <c r="D332" s="1" t="s">
        <v>25</v>
      </c>
      <c r="E332" s="1" t="s">
        <v>109</v>
      </c>
      <c r="F332" s="1" t="s">
        <v>273</v>
      </c>
      <c r="G332" s="1" t="s">
        <v>16</v>
      </c>
      <c r="H332" s="1" t="s">
        <v>17</v>
      </c>
      <c r="I332" s="1" t="s">
        <v>54</v>
      </c>
      <c r="J332" s="1" t="s">
        <v>19</v>
      </c>
      <c r="K332" s="1" t="s">
        <v>88</v>
      </c>
      <c r="L332" s="1" t="s">
        <v>21</v>
      </c>
    </row>
    <row r="333" spans="1:12" x14ac:dyDescent="0.25">
      <c r="A333" s="1" t="s">
        <v>1000</v>
      </c>
      <c r="B333" s="1" t="s">
        <v>120</v>
      </c>
      <c r="C333" s="1" t="s">
        <v>121</v>
      </c>
      <c r="D333" s="1" t="s">
        <v>25</v>
      </c>
      <c r="E333" s="1" t="s">
        <v>109</v>
      </c>
      <c r="F333" s="1" t="s">
        <v>273</v>
      </c>
      <c r="G333" s="1" t="s">
        <v>16</v>
      </c>
      <c r="H333" s="1" t="s">
        <v>17</v>
      </c>
      <c r="I333" s="1" t="s">
        <v>54</v>
      </c>
      <c r="J333" s="1" t="s">
        <v>19</v>
      </c>
      <c r="K333" s="1" t="s">
        <v>258</v>
      </c>
      <c r="L333" s="1" t="s">
        <v>21</v>
      </c>
    </row>
    <row r="334" spans="1:12" x14ac:dyDescent="0.25">
      <c r="A334" s="1" t="s">
        <v>1001</v>
      </c>
      <c r="B334" s="1" t="s">
        <v>78</v>
      </c>
      <c r="C334" s="1" t="s">
        <v>79</v>
      </c>
      <c r="D334" s="1" t="s">
        <v>96</v>
      </c>
      <c r="E334" s="1" t="s">
        <v>97</v>
      </c>
      <c r="F334" s="1" t="s">
        <v>98</v>
      </c>
      <c r="G334" s="1" t="s">
        <v>99</v>
      </c>
      <c r="H334" s="1" t="s">
        <v>29</v>
      </c>
      <c r="I334" s="1" t="s">
        <v>83</v>
      </c>
      <c r="J334" s="1" t="s">
        <v>40</v>
      </c>
      <c r="K334" s="1" t="s">
        <v>41</v>
      </c>
      <c r="L334" s="1" t="s">
        <v>21</v>
      </c>
    </row>
    <row r="335" spans="1:12" x14ac:dyDescent="0.25">
      <c r="A335" s="1" t="s">
        <v>1002</v>
      </c>
      <c r="B335" s="1" t="s">
        <v>101</v>
      </c>
      <c r="C335" s="1" t="s">
        <v>102</v>
      </c>
      <c r="D335" s="1" t="s">
        <v>103</v>
      </c>
      <c r="E335" s="1" t="s">
        <v>104</v>
      </c>
      <c r="F335" s="1" t="s">
        <v>105</v>
      </c>
      <c r="G335" s="1" t="s">
        <v>47</v>
      </c>
      <c r="H335" s="1" t="s">
        <v>29</v>
      </c>
      <c r="I335" s="1" t="s">
        <v>106</v>
      </c>
      <c r="J335" s="1" t="s">
        <v>40</v>
      </c>
      <c r="K335" s="1" t="s">
        <v>41</v>
      </c>
      <c r="L335" s="1" t="s">
        <v>21</v>
      </c>
    </row>
    <row r="336" spans="1:12" x14ac:dyDescent="0.25">
      <c r="A336" s="1" t="s">
        <v>1003</v>
      </c>
      <c r="B336" s="1" t="s">
        <v>120</v>
      </c>
      <c r="C336" s="1" t="s">
        <v>121</v>
      </c>
      <c r="D336" s="1" t="s">
        <v>51</v>
      </c>
      <c r="E336" s="1" t="s">
        <v>122</v>
      </c>
      <c r="F336" s="1" t="s">
        <v>123</v>
      </c>
      <c r="G336" s="1" t="s">
        <v>16</v>
      </c>
      <c r="H336" s="1" t="s">
        <v>17</v>
      </c>
      <c r="I336" s="1" t="s">
        <v>54</v>
      </c>
      <c r="J336" s="1" t="s">
        <v>168</v>
      </c>
      <c r="K336" s="1" t="s">
        <v>258</v>
      </c>
      <c r="L336" s="1" t="s">
        <v>21</v>
      </c>
    </row>
    <row r="337" spans="1:12" x14ac:dyDescent="0.25">
      <c r="A337" s="1" t="s">
        <v>1004</v>
      </c>
      <c r="B337" s="1" t="s">
        <v>929</v>
      </c>
      <c r="C337" s="1" t="s">
        <v>1005</v>
      </c>
      <c r="D337" s="1" t="s">
        <v>51</v>
      </c>
      <c r="E337" s="1" t="s">
        <v>370</v>
      </c>
      <c r="F337" s="1" t="s">
        <v>412</v>
      </c>
      <c r="G337" s="1" t="s">
        <v>129</v>
      </c>
      <c r="H337" s="1" t="s">
        <v>29</v>
      </c>
      <c r="I337" s="1" t="s">
        <v>141</v>
      </c>
      <c r="J337" s="1" t="s">
        <v>971</v>
      </c>
      <c r="K337" s="1" t="s">
        <v>55</v>
      </c>
      <c r="L337" s="1" t="s">
        <v>21</v>
      </c>
    </row>
    <row r="338" spans="1:12" x14ac:dyDescent="0.25">
      <c r="A338" s="1" t="s">
        <v>1006</v>
      </c>
      <c r="B338" s="1" t="s">
        <v>965</v>
      </c>
      <c r="C338" s="1" t="s">
        <v>966</v>
      </c>
      <c r="D338" s="1" t="s">
        <v>14</v>
      </c>
      <c r="E338" s="1" t="s">
        <v>109</v>
      </c>
      <c r="F338" s="1" t="s">
        <v>837</v>
      </c>
      <c r="G338" s="1" t="s">
        <v>1007</v>
      </c>
      <c r="H338" s="1" t="s">
        <v>29</v>
      </c>
      <c r="I338" s="1" t="s">
        <v>54</v>
      </c>
      <c r="J338" s="1" t="s">
        <v>19</v>
      </c>
      <c r="K338" s="1" t="s">
        <v>88</v>
      </c>
      <c r="L338" s="1" t="s">
        <v>21</v>
      </c>
    </row>
    <row r="339" spans="1:12" x14ac:dyDescent="0.25">
      <c r="A339" s="1" t="s">
        <v>1008</v>
      </c>
      <c r="B339" s="1" t="s">
        <v>659</v>
      </c>
      <c r="C339" s="1" t="s">
        <v>660</v>
      </c>
      <c r="D339" s="1" t="s">
        <v>51</v>
      </c>
      <c r="E339" s="1" t="s">
        <v>179</v>
      </c>
      <c r="F339" s="1" t="s">
        <v>180</v>
      </c>
      <c r="G339" s="1" t="s">
        <v>16</v>
      </c>
      <c r="H339" s="1" t="s">
        <v>29</v>
      </c>
      <c r="I339" s="1" t="s">
        <v>360</v>
      </c>
      <c r="J339" s="1" t="s">
        <v>19</v>
      </c>
      <c r="K339" s="1" t="s">
        <v>55</v>
      </c>
      <c r="L339" s="1" t="s">
        <v>21</v>
      </c>
    </row>
    <row r="340" spans="1:12" x14ac:dyDescent="0.25">
      <c r="A340" s="1" t="s">
        <v>1009</v>
      </c>
      <c r="B340" s="1" t="s">
        <v>43</v>
      </c>
      <c r="C340" s="1" t="s">
        <v>44</v>
      </c>
      <c r="D340" s="1" t="s">
        <v>35</v>
      </c>
      <c r="E340" s="1" t="s">
        <v>45</v>
      </c>
      <c r="F340" s="1" t="s">
        <v>46</v>
      </c>
      <c r="G340" s="1" t="s">
        <v>47</v>
      </c>
      <c r="H340" s="1" t="s">
        <v>29</v>
      </c>
      <c r="I340" s="1" t="s">
        <v>39</v>
      </c>
      <c r="J340" s="1" t="s">
        <v>40</v>
      </c>
      <c r="K340" s="1" t="s">
        <v>41</v>
      </c>
      <c r="L340" s="1" t="s">
        <v>21</v>
      </c>
    </row>
    <row r="341" spans="1:12" x14ac:dyDescent="0.25">
      <c r="A341" s="1" t="s">
        <v>1010</v>
      </c>
      <c r="B341" s="1" t="s">
        <v>43</v>
      </c>
      <c r="C341" s="1" t="s">
        <v>44</v>
      </c>
      <c r="D341" s="1" t="s">
        <v>35</v>
      </c>
      <c r="E341" s="1" t="s">
        <v>45</v>
      </c>
      <c r="F341" s="1" t="s">
        <v>46</v>
      </c>
      <c r="G341" s="1" t="s">
        <v>47</v>
      </c>
      <c r="H341" s="1" t="s">
        <v>29</v>
      </c>
      <c r="I341" s="1" t="s">
        <v>39</v>
      </c>
      <c r="J341" s="1" t="s">
        <v>40</v>
      </c>
      <c r="K341" s="1" t="s">
        <v>41</v>
      </c>
      <c r="L341" s="1" t="s">
        <v>21</v>
      </c>
    </row>
    <row r="342" spans="1:12" x14ac:dyDescent="0.25">
      <c r="A342" s="1" t="s">
        <v>1011</v>
      </c>
      <c r="B342" s="1" t="s">
        <v>1012</v>
      </c>
      <c r="C342" s="1" t="s">
        <v>1013</v>
      </c>
      <c r="D342" s="1" t="s">
        <v>1014</v>
      </c>
      <c r="E342" s="1" t="s">
        <v>52</v>
      </c>
      <c r="F342" s="1" t="s">
        <v>137</v>
      </c>
      <c r="G342" s="1" t="s">
        <v>99</v>
      </c>
      <c r="H342" s="1" t="s">
        <v>29</v>
      </c>
      <c r="I342" s="1" t="s">
        <v>141</v>
      </c>
      <c r="J342" s="1" t="s">
        <v>30</v>
      </c>
      <c r="K342" s="1" t="s">
        <v>169</v>
      </c>
      <c r="L342" s="1" t="s">
        <v>21</v>
      </c>
    </row>
    <row r="343" spans="1:12" x14ac:dyDescent="0.25">
      <c r="A343" s="1" t="s">
        <v>1015</v>
      </c>
      <c r="B343" s="1" t="s">
        <v>120</v>
      </c>
      <c r="C343" s="1" t="s">
        <v>121</v>
      </c>
      <c r="D343" s="1" t="s">
        <v>13</v>
      </c>
      <c r="E343" s="1" t="s">
        <v>268</v>
      </c>
      <c r="F343" s="1" t="s">
        <v>412</v>
      </c>
      <c r="G343" s="1" t="s">
        <v>75</v>
      </c>
      <c r="H343" s="1" t="s">
        <v>17</v>
      </c>
      <c r="I343" s="1" t="s">
        <v>54</v>
      </c>
      <c r="J343" s="1" t="s">
        <v>19</v>
      </c>
      <c r="K343" s="1" t="s">
        <v>258</v>
      </c>
      <c r="L343" s="1" t="s">
        <v>21</v>
      </c>
    </row>
    <row r="344" spans="1:12" x14ac:dyDescent="0.25">
      <c r="A344" s="1" t="s">
        <v>1016</v>
      </c>
      <c r="B344" s="1" t="s">
        <v>78</v>
      </c>
      <c r="C344" s="1" t="s">
        <v>79</v>
      </c>
      <c r="D344" s="1" t="s">
        <v>51</v>
      </c>
      <c r="E344" s="1" t="s">
        <v>143</v>
      </c>
      <c r="F344" s="1" t="s">
        <v>144</v>
      </c>
      <c r="G344" s="1" t="s">
        <v>47</v>
      </c>
      <c r="H344" s="1" t="s">
        <v>29</v>
      </c>
      <c r="I344" s="1" t="s">
        <v>83</v>
      </c>
      <c r="J344" s="1" t="s">
        <v>40</v>
      </c>
      <c r="K344" s="1" t="s">
        <v>41</v>
      </c>
      <c r="L344" s="1" t="s">
        <v>21</v>
      </c>
    </row>
    <row r="345" spans="1:12" x14ac:dyDescent="0.25">
      <c r="A345" s="1" t="s">
        <v>1017</v>
      </c>
      <c r="B345" s="1" t="s">
        <v>33</v>
      </c>
      <c r="C345" s="1" t="s">
        <v>34</v>
      </c>
      <c r="D345" s="1" t="s">
        <v>35</v>
      </c>
      <c r="E345" s="1" t="s">
        <v>146</v>
      </c>
      <c r="F345" s="1" t="s">
        <v>147</v>
      </c>
      <c r="G345" s="1" t="s">
        <v>38</v>
      </c>
      <c r="H345" s="1" t="s">
        <v>29</v>
      </c>
      <c r="I345" s="1" t="s">
        <v>39</v>
      </c>
      <c r="J345" s="1" t="s">
        <v>40</v>
      </c>
      <c r="K345" s="1" t="s">
        <v>41</v>
      </c>
      <c r="L345" s="1" t="s">
        <v>21</v>
      </c>
    </row>
    <row r="346" spans="1:12" x14ac:dyDescent="0.25">
      <c r="A346" s="1" t="s">
        <v>1018</v>
      </c>
      <c r="B346" s="1" t="s">
        <v>940</v>
      </c>
      <c r="C346" s="1" t="s">
        <v>941</v>
      </c>
      <c r="D346" s="1" t="s">
        <v>25</v>
      </c>
      <c r="E346" s="1" t="s">
        <v>268</v>
      </c>
      <c r="F346" s="1" t="s">
        <v>273</v>
      </c>
      <c r="G346" s="1" t="s">
        <v>190</v>
      </c>
      <c r="H346" s="1" t="s">
        <v>17</v>
      </c>
      <c r="I346" s="1" t="s">
        <v>141</v>
      </c>
      <c r="J346" s="1" t="s">
        <v>19</v>
      </c>
      <c r="K346" s="1" t="s">
        <v>258</v>
      </c>
      <c r="L346" s="1" t="s">
        <v>21</v>
      </c>
    </row>
    <row r="347" spans="1:12" x14ac:dyDescent="0.25">
      <c r="A347" s="1" t="s">
        <v>1019</v>
      </c>
      <c r="B347" s="1" t="s">
        <v>120</v>
      </c>
      <c r="C347" s="1" t="s">
        <v>121</v>
      </c>
      <c r="D347" s="1" t="s">
        <v>13</v>
      </c>
      <c r="E347" s="1" t="s">
        <v>189</v>
      </c>
      <c r="F347" s="1" t="s">
        <v>447</v>
      </c>
      <c r="G347" s="1" t="s">
        <v>160</v>
      </c>
      <c r="H347" s="1" t="s">
        <v>17</v>
      </c>
      <c r="I347" s="1" t="s">
        <v>54</v>
      </c>
      <c r="J347" s="1" t="s">
        <v>19</v>
      </c>
      <c r="K347" s="1" t="s">
        <v>258</v>
      </c>
      <c r="L347" s="1" t="s">
        <v>21</v>
      </c>
    </row>
    <row r="348" spans="1:12" x14ac:dyDescent="0.25">
      <c r="A348" s="1" t="s">
        <v>1020</v>
      </c>
      <c r="B348" s="1" t="s">
        <v>1021</v>
      </c>
      <c r="C348" s="1" t="s">
        <v>1022</v>
      </c>
      <c r="D348" s="1" t="s">
        <v>157</v>
      </c>
      <c r="E348" s="1" t="s">
        <v>67</v>
      </c>
      <c r="F348" s="1" t="s">
        <v>278</v>
      </c>
      <c r="G348" s="1" t="s">
        <v>99</v>
      </c>
      <c r="H348" s="1" t="s">
        <v>29</v>
      </c>
      <c r="I348" s="1" t="s">
        <v>117</v>
      </c>
      <c r="J348" s="1" t="s">
        <v>40</v>
      </c>
      <c r="K348" s="1" t="s">
        <v>1023</v>
      </c>
      <c r="L348" s="1" t="s">
        <v>21</v>
      </c>
    </row>
    <row r="349" spans="1:12" x14ac:dyDescent="0.25">
      <c r="A349" s="1" t="s">
        <v>1024</v>
      </c>
      <c r="B349" s="1" t="s">
        <v>1025</v>
      </c>
      <c r="C349" s="1" t="s">
        <v>1026</v>
      </c>
      <c r="D349" s="1" t="s">
        <v>51</v>
      </c>
      <c r="E349" s="1" t="s">
        <v>109</v>
      </c>
      <c r="F349" s="1" t="s">
        <v>220</v>
      </c>
      <c r="G349" s="1" t="s">
        <v>16</v>
      </c>
      <c r="H349" s="1" t="s">
        <v>17</v>
      </c>
      <c r="I349" s="1" t="s">
        <v>360</v>
      </c>
      <c r="J349" s="1" t="s">
        <v>30</v>
      </c>
      <c r="K349" s="1" t="s">
        <v>55</v>
      </c>
      <c r="L349" s="1" t="s">
        <v>21</v>
      </c>
    </row>
    <row r="350" spans="1:12" x14ac:dyDescent="0.25">
      <c r="A350" s="1" t="s">
        <v>1027</v>
      </c>
      <c r="B350" s="1" t="s">
        <v>78</v>
      </c>
      <c r="C350" s="1" t="s">
        <v>79</v>
      </c>
      <c r="D350" s="1" t="s">
        <v>35</v>
      </c>
      <c r="E350" s="1" t="s">
        <v>80</v>
      </c>
      <c r="F350" s="1" t="s">
        <v>171</v>
      </c>
      <c r="G350" s="1" t="s">
        <v>82</v>
      </c>
      <c r="H350" s="1" t="s">
        <v>29</v>
      </c>
      <c r="I350" s="1" t="s">
        <v>83</v>
      </c>
      <c r="J350" s="1" t="s">
        <v>40</v>
      </c>
      <c r="K350" s="1" t="s">
        <v>41</v>
      </c>
      <c r="L350" s="1" t="s">
        <v>21</v>
      </c>
    </row>
    <row r="351" spans="1:12" x14ac:dyDescent="0.25">
      <c r="A351" s="1" t="s">
        <v>1028</v>
      </c>
      <c r="B351" s="1" t="s">
        <v>78</v>
      </c>
      <c r="C351" s="1" t="s">
        <v>79</v>
      </c>
      <c r="D351" s="1" t="s">
        <v>51</v>
      </c>
      <c r="E351" s="1" t="s">
        <v>173</v>
      </c>
      <c r="F351" s="1" t="s">
        <v>37</v>
      </c>
      <c r="G351" s="1" t="s">
        <v>174</v>
      </c>
      <c r="H351" s="1" t="s">
        <v>29</v>
      </c>
      <c r="I351" s="1" t="s">
        <v>83</v>
      </c>
      <c r="J351" s="1" t="s">
        <v>40</v>
      </c>
      <c r="K351" s="1" t="s">
        <v>41</v>
      </c>
      <c r="L351" s="1" t="s">
        <v>21</v>
      </c>
    </row>
    <row r="352" spans="1:12" x14ac:dyDescent="0.25">
      <c r="A352" s="1" t="s">
        <v>1029</v>
      </c>
      <c r="B352" s="1" t="s">
        <v>1030</v>
      </c>
      <c r="C352" s="1" t="s">
        <v>1031</v>
      </c>
      <c r="D352" s="1" t="s">
        <v>13</v>
      </c>
      <c r="E352" s="1" t="s">
        <v>92</v>
      </c>
      <c r="F352" s="1" t="s">
        <v>307</v>
      </c>
      <c r="G352" s="1" t="s">
        <v>16</v>
      </c>
      <c r="H352" s="1" t="s">
        <v>17</v>
      </c>
      <c r="I352" s="1" t="s">
        <v>141</v>
      </c>
      <c r="J352" s="1" t="s">
        <v>19</v>
      </c>
      <c r="K352" s="1" t="s">
        <v>55</v>
      </c>
      <c r="L352" s="1" t="s">
        <v>21</v>
      </c>
    </row>
    <row r="353" spans="1:12" x14ac:dyDescent="0.25">
      <c r="A353" s="1" t="s">
        <v>1032</v>
      </c>
      <c r="B353" s="1" t="s">
        <v>1033</v>
      </c>
      <c r="C353" s="1" t="s">
        <v>1034</v>
      </c>
      <c r="D353" s="1" t="s">
        <v>51</v>
      </c>
      <c r="E353" s="1" t="s">
        <v>59</v>
      </c>
      <c r="F353" s="1" t="s">
        <v>60</v>
      </c>
      <c r="G353" s="1" t="s">
        <v>16</v>
      </c>
      <c r="H353" s="1" t="s">
        <v>17</v>
      </c>
      <c r="I353" s="1" t="s">
        <v>94</v>
      </c>
      <c r="J353" s="1" t="s">
        <v>40</v>
      </c>
      <c r="K353" s="1" t="s">
        <v>55</v>
      </c>
      <c r="L353" s="1" t="s">
        <v>21</v>
      </c>
    </row>
    <row r="354" spans="1:12" x14ac:dyDescent="0.25">
      <c r="A354" s="1" t="s">
        <v>1035</v>
      </c>
      <c r="B354" s="1" t="s">
        <v>78</v>
      </c>
      <c r="C354" s="1" t="s">
        <v>79</v>
      </c>
      <c r="D354" s="1" t="s">
        <v>51</v>
      </c>
      <c r="E354" s="1" t="s">
        <v>80</v>
      </c>
      <c r="F354" s="1" t="s">
        <v>81</v>
      </c>
      <c r="G354" s="1" t="s">
        <v>82</v>
      </c>
      <c r="H354" s="1" t="s">
        <v>29</v>
      </c>
      <c r="I354" s="1" t="s">
        <v>83</v>
      </c>
      <c r="J354" s="1" t="s">
        <v>40</v>
      </c>
      <c r="K354" s="1" t="s">
        <v>41</v>
      </c>
      <c r="L354" s="1" t="s">
        <v>21</v>
      </c>
    </row>
    <row r="355" spans="1:12" x14ac:dyDescent="0.25">
      <c r="A355" s="1" t="s">
        <v>1036</v>
      </c>
      <c r="B355" s="1" t="s">
        <v>33</v>
      </c>
      <c r="C355" s="1" t="s">
        <v>34</v>
      </c>
      <c r="D355" s="1" t="s">
        <v>186</v>
      </c>
      <c r="E355" s="1" t="s">
        <v>80</v>
      </c>
      <c r="F355" s="1" t="s">
        <v>187</v>
      </c>
      <c r="G355" s="1" t="s">
        <v>38</v>
      </c>
      <c r="H355" s="1" t="s">
        <v>29</v>
      </c>
      <c r="I355" s="1" t="s">
        <v>39</v>
      </c>
      <c r="J355" s="1" t="s">
        <v>40</v>
      </c>
      <c r="K355" s="1" t="s">
        <v>41</v>
      </c>
      <c r="L355" s="1" t="s">
        <v>21</v>
      </c>
    </row>
    <row r="356" spans="1:12" x14ac:dyDescent="0.25">
      <c r="A356" s="1" t="s">
        <v>1037</v>
      </c>
      <c r="B356" s="1" t="s">
        <v>1038</v>
      </c>
      <c r="C356" s="1" t="s">
        <v>1039</v>
      </c>
      <c r="D356" s="1" t="s">
        <v>579</v>
      </c>
      <c r="E356" s="1" t="s">
        <v>1040</v>
      </c>
      <c r="F356" s="1" t="s">
        <v>476</v>
      </c>
      <c r="G356" s="1" t="s">
        <v>174</v>
      </c>
      <c r="H356" s="1" t="s">
        <v>29</v>
      </c>
      <c r="I356" s="1" t="s">
        <v>117</v>
      </c>
      <c r="J356" s="1" t="s">
        <v>40</v>
      </c>
      <c r="K356" s="1" t="s">
        <v>1041</v>
      </c>
      <c r="L356" s="1" t="s">
        <v>21</v>
      </c>
    </row>
    <row r="357" spans="1:12" x14ac:dyDescent="0.25">
      <c r="A357" s="1" t="s">
        <v>1042</v>
      </c>
      <c r="B357" s="1" t="s">
        <v>1043</v>
      </c>
      <c r="C357" s="1" t="s">
        <v>1044</v>
      </c>
      <c r="D357" s="1" t="s">
        <v>25</v>
      </c>
      <c r="E357" s="1" t="s">
        <v>109</v>
      </c>
      <c r="F357" s="1" t="s">
        <v>273</v>
      </c>
      <c r="G357" s="1" t="s">
        <v>327</v>
      </c>
      <c r="H357" s="1" t="s">
        <v>29</v>
      </c>
      <c r="I357" s="1" t="s">
        <v>18</v>
      </c>
      <c r="J357" s="1" t="s">
        <v>168</v>
      </c>
      <c r="K357" s="1" t="s">
        <v>55</v>
      </c>
      <c r="L357" s="1" t="s">
        <v>21</v>
      </c>
    </row>
    <row r="358" spans="1:12" x14ac:dyDescent="0.25">
      <c r="A358" s="1" t="s">
        <v>1045</v>
      </c>
      <c r="B358" s="1" t="s">
        <v>1046</v>
      </c>
      <c r="C358" s="1" t="s">
        <v>1047</v>
      </c>
      <c r="D358" s="1" t="s">
        <v>51</v>
      </c>
      <c r="E358" s="1" t="s">
        <v>232</v>
      </c>
      <c r="F358" s="1" t="s">
        <v>618</v>
      </c>
      <c r="G358" s="1" t="s">
        <v>16</v>
      </c>
      <c r="H358" s="1" t="s">
        <v>17</v>
      </c>
      <c r="I358" s="1" t="s">
        <v>360</v>
      </c>
      <c r="J358" s="1" t="s">
        <v>30</v>
      </c>
      <c r="K358" s="1" t="s">
        <v>1048</v>
      </c>
      <c r="L358" s="1" t="s">
        <v>21</v>
      </c>
    </row>
    <row r="359" spans="1:12" x14ac:dyDescent="0.25">
      <c r="A359" s="1" t="s">
        <v>1049</v>
      </c>
      <c r="B359" s="1" t="s">
        <v>271</v>
      </c>
      <c r="C359" s="1" t="s">
        <v>272</v>
      </c>
      <c r="D359" s="1" t="s">
        <v>25</v>
      </c>
      <c r="E359" s="1" t="s">
        <v>109</v>
      </c>
      <c r="F359" s="1" t="s">
        <v>273</v>
      </c>
      <c r="G359" s="1" t="s">
        <v>247</v>
      </c>
      <c r="H359" s="1" t="s">
        <v>29</v>
      </c>
      <c r="I359" s="1" t="s">
        <v>18</v>
      </c>
      <c r="J359" s="1" t="s">
        <v>168</v>
      </c>
      <c r="K359" s="1" t="s">
        <v>55</v>
      </c>
      <c r="L359" s="1" t="s">
        <v>21</v>
      </c>
    </row>
    <row r="360" spans="1:12" x14ac:dyDescent="0.25">
      <c r="A360" s="1" t="s">
        <v>1050</v>
      </c>
      <c r="B360" s="1" t="s">
        <v>78</v>
      </c>
      <c r="C360" s="1" t="s">
        <v>79</v>
      </c>
      <c r="D360" s="1" t="s">
        <v>178</v>
      </c>
      <c r="E360" s="1" t="s">
        <v>210</v>
      </c>
      <c r="F360" s="1" t="s">
        <v>211</v>
      </c>
      <c r="G360" s="1" t="s">
        <v>212</v>
      </c>
      <c r="H360" s="1" t="s">
        <v>29</v>
      </c>
      <c r="I360" s="1" t="s">
        <v>83</v>
      </c>
      <c r="J360" s="1" t="s">
        <v>40</v>
      </c>
      <c r="K360" s="1" t="s">
        <v>41</v>
      </c>
      <c r="L360" s="1" t="s">
        <v>21</v>
      </c>
    </row>
    <row r="361" spans="1:12" x14ac:dyDescent="0.25">
      <c r="A361" s="1" t="s">
        <v>1051</v>
      </c>
      <c r="B361" s="1" t="s">
        <v>78</v>
      </c>
      <c r="C361" s="1" t="s">
        <v>214</v>
      </c>
      <c r="D361" s="1" t="s">
        <v>45</v>
      </c>
      <c r="E361" s="1" t="s">
        <v>215</v>
      </c>
      <c r="F361" s="1" t="s">
        <v>216</v>
      </c>
      <c r="G361" s="1" t="s">
        <v>82</v>
      </c>
      <c r="H361" s="1" t="s">
        <v>29</v>
      </c>
      <c r="I361" s="1" t="s">
        <v>83</v>
      </c>
      <c r="J361" s="1" t="s">
        <v>40</v>
      </c>
      <c r="K361" s="1" t="s">
        <v>41</v>
      </c>
      <c r="L361" s="1" t="s">
        <v>21</v>
      </c>
    </row>
    <row r="362" spans="1:12" x14ac:dyDescent="0.25">
      <c r="A362" s="1" t="s">
        <v>1052</v>
      </c>
      <c r="B362" s="1" t="s">
        <v>120</v>
      </c>
      <c r="C362" s="1" t="s">
        <v>121</v>
      </c>
      <c r="D362" s="1" t="s">
        <v>25</v>
      </c>
      <c r="E362" s="1" t="s">
        <v>109</v>
      </c>
      <c r="F362" s="1" t="s">
        <v>273</v>
      </c>
      <c r="G362" s="1" t="s">
        <v>160</v>
      </c>
      <c r="H362" s="1" t="s">
        <v>17</v>
      </c>
      <c r="I362" s="1" t="s">
        <v>54</v>
      </c>
      <c r="J362" s="1" t="s">
        <v>19</v>
      </c>
      <c r="K362" s="1" t="s">
        <v>258</v>
      </c>
      <c r="L362" s="1" t="s">
        <v>21</v>
      </c>
    </row>
    <row r="363" spans="1:12" x14ac:dyDescent="0.25">
      <c r="A363" s="1" t="s">
        <v>1053</v>
      </c>
      <c r="B363" s="1" t="s">
        <v>745</v>
      </c>
      <c r="C363" s="1" t="s">
        <v>746</v>
      </c>
      <c r="D363" s="1" t="s">
        <v>13</v>
      </c>
      <c r="E363" s="1" t="s">
        <v>352</v>
      </c>
      <c r="F363" s="1" t="s">
        <v>391</v>
      </c>
      <c r="G363" s="1" t="s">
        <v>99</v>
      </c>
      <c r="H363" s="1" t="s">
        <v>29</v>
      </c>
      <c r="I363" s="1" t="s">
        <v>141</v>
      </c>
      <c r="J363" s="1" t="s">
        <v>30</v>
      </c>
      <c r="K363" s="1" t="s">
        <v>20</v>
      </c>
      <c r="L363" s="1" t="s">
        <v>21</v>
      </c>
    </row>
    <row r="364" spans="1:12" x14ac:dyDescent="0.25">
      <c r="A364" s="1" t="s">
        <v>1054</v>
      </c>
      <c r="B364" s="1" t="s">
        <v>43</v>
      </c>
      <c r="C364" s="1" t="s">
        <v>44</v>
      </c>
      <c r="D364" s="1" t="s">
        <v>35</v>
      </c>
      <c r="E364" s="1" t="s">
        <v>45</v>
      </c>
      <c r="F364" s="1" t="s">
        <v>46</v>
      </c>
      <c r="G364" s="1" t="s">
        <v>47</v>
      </c>
      <c r="H364" s="1" t="s">
        <v>29</v>
      </c>
      <c r="I364" s="1" t="s">
        <v>39</v>
      </c>
      <c r="J364" s="1" t="s">
        <v>40</v>
      </c>
      <c r="K364" s="1" t="s">
        <v>41</v>
      </c>
      <c r="L364" s="1" t="s">
        <v>21</v>
      </c>
    </row>
    <row r="365" spans="1:12" x14ac:dyDescent="0.25">
      <c r="A365" s="1" t="s">
        <v>1055</v>
      </c>
      <c r="B365" s="1" t="s">
        <v>33</v>
      </c>
      <c r="C365" s="1" t="s">
        <v>34</v>
      </c>
      <c r="D365" s="1" t="s">
        <v>35</v>
      </c>
      <c r="E365" s="1" t="s">
        <v>36</v>
      </c>
      <c r="F365" s="1" t="s">
        <v>37</v>
      </c>
      <c r="G365" s="1" t="s">
        <v>38</v>
      </c>
      <c r="H365" s="1" t="s">
        <v>29</v>
      </c>
      <c r="I365" s="1" t="s">
        <v>39</v>
      </c>
      <c r="J365" s="1" t="s">
        <v>40</v>
      </c>
      <c r="K365" s="1" t="s">
        <v>41</v>
      </c>
      <c r="L365" s="1" t="s">
        <v>21</v>
      </c>
    </row>
    <row r="366" spans="1:12" x14ac:dyDescent="0.25">
      <c r="A366" s="1" t="s">
        <v>1056</v>
      </c>
      <c r="B366" s="1" t="s">
        <v>929</v>
      </c>
      <c r="C366" s="1" t="s">
        <v>930</v>
      </c>
      <c r="D366" s="1" t="s">
        <v>25</v>
      </c>
      <c r="E366" s="1" t="s">
        <v>109</v>
      </c>
      <c r="F366" s="1" t="s">
        <v>273</v>
      </c>
      <c r="G366" s="1" t="s">
        <v>337</v>
      </c>
      <c r="H366" s="1" t="s">
        <v>17</v>
      </c>
      <c r="I366" s="1" t="s">
        <v>141</v>
      </c>
      <c r="J366" s="1" t="s">
        <v>19</v>
      </c>
      <c r="K366" s="1" t="s">
        <v>55</v>
      </c>
      <c r="L366" s="1" t="s">
        <v>21</v>
      </c>
    </row>
    <row r="367" spans="1:12" x14ac:dyDescent="0.25">
      <c r="A367" s="1" t="s">
        <v>1057</v>
      </c>
      <c r="B367" s="1" t="s">
        <v>781</v>
      </c>
      <c r="C367" s="1" t="s">
        <v>782</v>
      </c>
      <c r="D367" s="1" t="s">
        <v>579</v>
      </c>
      <c r="E367" s="1" t="s">
        <v>783</v>
      </c>
      <c r="F367" s="1" t="s">
        <v>53</v>
      </c>
      <c r="G367" s="1" t="s">
        <v>16</v>
      </c>
      <c r="H367" s="1" t="s">
        <v>17</v>
      </c>
      <c r="I367" s="1" t="s">
        <v>94</v>
      </c>
      <c r="J367" s="1" t="s">
        <v>168</v>
      </c>
      <c r="K367" s="1" t="s">
        <v>784</v>
      </c>
      <c r="L367" s="1" t="s">
        <v>21</v>
      </c>
    </row>
    <row r="368" spans="1:12" x14ac:dyDescent="0.25">
      <c r="A368" s="1" t="s">
        <v>1058</v>
      </c>
      <c r="B368" s="1" t="s">
        <v>1030</v>
      </c>
      <c r="C368" s="1" t="s">
        <v>1059</v>
      </c>
      <c r="D368" s="1" t="s">
        <v>13</v>
      </c>
      <c r="E368" s="1" t="s">
        <v>92</v>
      </c>
      <c r="F368" s="1" t="s">
        <v>307</v>
      </c>
      <c r="G368" s="1" t="s">
        <v>337</v>
      </c>
      <c r="H368" s="1" t="s">
        <v>17</v>
      </c>
      <c r="I368" s="1" t="s">
        <v>141</v>
      </c>
      <c r="J368" s="1" t="s">
        <v>19</v>
      </c>
      <c r="K368" s="1" t="s">
        <v>55</v>
      </c>
      <c r="L368" s="1" t="s">
        <v>21</v>
      </c>
    </row>
    <row r="369" spans="1:12" x14ac:dyDescent="0.25">
      <c r="A369" s="1" t="s">
        <v>1060</v>
      </c>
      <c r="B369" s="1" t="s">
        <v>539</v>
      </c>
      <c r="C369" s="1" t="s">
        <v>540</v>
      </c>
      <c r="D369" s="1" t="s">
        <v>13</v>
      </c>
      <c r="E369" s="1" t="s">
        <v>109</v>
      </c>
      <c r="F369" s="1" t="s">
        <v>412</v>
      </c>
      <c r="G369" s="1" t="s">
        <v>459</v>
      </c>
      <c r="H369" s="1" t="s">
        <v>17</v>
      </c>
      <c r="I369" s="1" t="s">
        <v>141</v>
      </c>
      <c r="J369" s="1" t="s">
        <v>19</v>
      </c>
      <c r="K369" s="1" t="s">
        <v>55</v>
      </c>
      <c r="L369" s="1" t="s">
        <v>21</v>
      </c>
    </row>
    <row r="370" spans="1:12" x14ac:dyDescent="0.25">
      <c r="A370" s="1" t="s">
        <v>1061</v>
      </c>
      <c r="B370" s="1" t="s">
        <v>78</v>
      </c>
      <c r="C370" s="1" t="s">
        <v>79</v>
      </c>
      <c r="D370" s="1" t="s">
        <v>51</v>
      </c>
      <c r="E370" s="1" t="s">
        <v>80</v>
      </c>
      <c r="F370" s="1" t="s">
        <v>81</v>
      </c>
      <c r="G370" s="1" t="s">
        <v>82</v>
      </c>
      <c r="H370" s="1" t="s">
        <v>29</v>
      </c>
      <c r="I370" s="1" t="s">
        <v>83</v>
      </c>
      <c r="J370" s="1" t="s">
        <v>40</v>
      </c>
      <c r="K370" s="1" t="s">
        <v>41</v>
      </c>
      <c r="L370" s="1" t="s">
        <v>21</v>
      </c>
    </row>
    <row r="371" spans="1:12" x14ac:dyDescent="0.25">
      <c r="A371" s="1" t="s">
        <v>1062</v>
      </c>
      <c r="B371" s="1" t="s">
        <v>78</v>
      </c>
      <c r="C371" s="1" t="s">
        <v>79</v>
      </c>
      <c r="D371" s="1" t="s">
        <v>96</v>
      </c>
      <c r="E371" s="1" t="s">
        <v>97</v>
      </c>
      <c r="F371" s="1" t="s">
        <v>98</v>
      </c>
      <c r="G371" s="1" t="s">
        <v>99</v>
      </c>
      <c r="H371" s="1" t="s">
        <v>29</v>
      </c>
      <c r="I371" s="1" t="s">
        <v>83</v>
      </c>
      <c r="J371" s="1" t="s">
        <v>40</v>
      </c>
      <c r="K371" s="1" t="s">
        <v>41</v>
      </c>
      <c r="L371" s="1" t="s">
        <v>21</v>
      </c>
    </row>
    <row r="372" spans="1:12" x14ac:dyDescent="0.25">
      <c r="A372" s="1" t="s">
        <v>1063</v>
      </c>
      <c r="B372" s="1" t="s">
        <v>1064</v>
      </c>
      <c r="C372" s="1" t="s">
        <v>1065</v>
      </c>
      <c r="D372" s="1" t="s">
        <v>25</v>
      </c>
      <c r="E372" s="1" t="s">
        <v>109</v>
      </c>
      <c r="F372" s="1" t="s">
        <v>273</v>
      </c>
      <c r="G372" s="1" t="s">
        <v>413</v>
      </c>
      <c r="H372" s="1" t="s">
        <v>17</v>
      </c>
      <c r="I372" s="1" t="s">
        <v>141</v>
      </c>
      <c r="J372" s="1" t="s">
        <v>19</v>
      </c>
      <c r="K372" s="1" t="s">
        <v>55</v>
      </c>
      <c r="L372" s="1" t="s">
        <v>21</v>
      </c>
    </row>
    <row r="373" spans="1:12" x14ac:dyDescent="0.25">
      <c r="A373" s="1" t="s">
        <v>1066</v>
      </c>
      <c r="B373" s="1" t="s">
        <v>947</v>
      </c>
      <c r="C373" s="1" t="s">
        <v>1067</v>
      </c>
      <c r="D373" s="1" t="s">
        <v>51</v>
      </c>
      <c r="E373" s="1" t="s">
        <v>515</v>
      </c>
      <c r="F373" s="1" t="s">
        <v>391</v>
      </c>
      <c r="G373" s="1" t="s">
        <v>16</v>
      </c>
      <c r="H373" s="1" t="s">
        <v>17</v>
      </c>
      <c r="I373" s="1" t="s">
        <v>354</v>
      </c>
      <c r="J373" s="1" t="s">
        <v>19</v>
      </c>
      <c r="K373" s="1" t="s">
        <v>55</v>
      </c>
      <c r="L373" s="1" t="s">
        <v>21</v>
      </c>
    </row>
    <row r="374" spans="1:12" x14ac:dyDescent="0.25">
      <c r="A374" s="1" t="s">
        <v>1068</v>
      </c>
      <c r="B374" s="1" t="s">
        <v>101</v>
      </c>
      <c r="C374" s="1" t="s">
        <v>102</v>
      </c>
      <c r="D374" s="1" t="s">
        <v>103</v>
      </c>
      <c r="E374" s="1" t="s">
        <v>104</v>
      </c>
      <c r="F374" s="1" t="s">
        <v>105</v>
      </c>
      <c r="G374" s="1" t="s">
        <v>47</v>
      </c>
      <c r="H374" s="1" t="s">
        <v>29</v>
      </c>
      <c r="I374" s="1" t="s">
        <v>106</v>
      </c>
      <c r="J374" s="1" t="s">
        <v>40</v>
      </c>
      <c r="K374" s="1" t="s">
        <v>41</v>
      </c>
      <c r="L374" s="1" t="s">
        <v>21</v>
      </c>
    </row>
    <row r="375" spans="1:12" x14ac:dyDescent="0.25">
      <c r="A375" s="1" t="s">
        <v>1069</v>
      </c>
      <c r="B375" s="1" t="s">
        <v>43</v>
      </c>
      <c r="C375" s="1" t="s">
        <v>44</v>
      </c>
      <c r="D375" s="1" t="s">
        <v>35</v>
      </c>
      <c r="E375" s="1" t="s">
        <v>45</v>
      </c>
      <c r="F375" s="1" t="s">
        <v>46</v>
      </c>
      <c r="G375" s="1" t="s">
        <v>47</v>
      </c>
      <c r="H375" s="1" t="s">
        <v>29</v>
      </c>
      <c r="I375" s="1" t="s">
        <v>39</v>
      </c>
      <c r="J375" s="1" t="s">
        <v>40</v>
      </c>
      <c r="K375" s="1" t="s">
        <v>41</v>
      </c>
      <c r="L375" s="1" t="s">
        <v>21</v>
      </c>
    </row>
    <row r="376" spans="1:12" x14ac:dyDescent="0.25">
      <c r="A376" s="1" t="s">
        <v>1070</v>
      </c>
      <c r="B376" s="1" t="s">
        <v>1071</v>
      </c>
      <c r="C376" s="1" t="s">
        <v>1072</v>
      </c>
      <c r="D376" s="1" t="s">
        <v>1073</v>
      </c>
      <c r="E376" s="1" t="s">
        <v>326</v>
      </c>
      <c r="F376" s="1" t="s">
        <v>405</v>
      </c>
      <c r="G376" s="1" t="s">
        <v>38</v>
      </c>
      <c r="H376" s="1" t="s">
        <v>17</v>
      </c>
      <c r="I376" s="1" t="s">
        <v>117</v>
      </c>
      <c r="J376" s="1" t="s">
        <v>40</v>
      </c>
      <c r="K376" s="1" t="s">
        <v>763</v>
      </c>
      <c r="L376" s="1" t="s">
        <v>21</v>
      </c>
    </row>
    <row r="377" spans="1:12" x14ac:dyDescent="0.25">
      <c r="A377" s="1" t="s">
        <v>1074</v>
      </c>
      <c r="B377" s="1" t="s">
        <v>790</v>
      </c>
      <c r="C377" s="1" t="s">
        <v>791</v>
      </c>
      <c r="D377" s="1" t="s">
        <v>792</v>
      </c>
      <c r="E377" s="1" t="s">
        <v>793</v>
      </c>
      <c r="F377" s="1" t="s">
        <v>794</v>
      </c>
      <c r="G377" s="1" t="s">
        <v>160</v>
      </c>
      <c r="H377" s="1" t="s">
        <v>29</v>
      </c>
      <c r="I377" s="1" t="s">
        <v>141</v>
      </c>
      <c r="J377" s="1" t="s">
        <v>19</v>
      </c>
      <c r="K377" s="1" t="s">
        <v>795</v>
      </c>
      <c r="L377" s="1" t="s">
        <v>21</v>
      </c>
    </row>
    <row r="378" spans="1:12" x14ac:dyDescent="0.25">
      <c r="A378" s="1" t="s">
        <v>1075</v>
      </c>
      <c r="B378" s="1" t="s">
        <v>1076</v>
      </c>
      <c r="C378" s="1" t="s">
        <v>1077</v>
      </c>
      <c r="D378" s="1" t="s">
        <v>157</v>
      </c>
      <c r="E378" s="1" t="s">
        <v>515</v>
      </c>
      <c r="F378" s="1" t="s">
        <v>220</v>
      </c>
      <c r="G378" s="1" t="s">
        <v>129</v>
      </c>
      <c r="H378" s="1" t="s">
        <v>17</v>
      </c>
      <c r="I378" s="1" t="s">
        <v>354</v>
      </c>
      <c r="J378" s="1" t="s">
        <v>19</v>
      </c>
      <c r="K378" s="1" t="s">
        <v>1078</v>
      </c>
      <c r="L378" s="1" t="s">
        <v>21</v>
      </c>
    </row>
    <row r="379" spans="1:12" x14ac:dyDescent="0.25">
      <c r="A379" s="1" t="s">
        <v>1079</v>
      </c>
      <c r="B379" s="1" t="s">
        <v>929</v>
      </c>
      <c r="C379" s="1" t="s">
        <v>930</v>
      </c>
      <c r="D379" s="1" t="s">
        <v>25</v>
      </c>
      <c r="E379" s="1" t="s">
        <v>109</v>
      </c>
      <c r="F379" s="1" t="s">
        <v>273</v>
      </c>
      <c r="G379" s="1" t="s">
        <v>47</v>
      </c>
      <c r="H379" s="1" t="s">
        <v>17</v>
      </c>
      <c r="I379" s="1" t="s">
        <v>141</v>
      </c>
      <c r="J379" s="1" t="s">
        <v>19</v>
      </c>
      <c r="K379" s="1" t="s">
        <v>55</v>
      </c>
      <c r="L379" s="1" t="s">
        <v>21</v>
      </c>
    </row>
    <row r="380" spans="1:12" x14ac:dyDescent="0.25">
      <c r="A380" s="1" t="s">
        <v>1080</v>
      </c>
      <c r="B380" s="1" t="s">
        <v>43</v>
      </c>
      <c r="C380" s="1" t="s">
        <v>44</v>
      </c>
      <c r="D380" s="1" t="s">
        <v>35</v>
      </c>
      <c r="E380" s="1" t="s">
        <v>45</v>
      </c>
      <c r="F380" s="1" t="s">
        <v>46</v>
      </c>
      <c r="G380" s="1" t="s">
        <v>47</v>
      </c>
      <c r="H380" s="1" t="s">
        <v>29</v>
      </c>
      <c r="I380" s="1" t="s">
        <v>39</v>
      </c>
      <c r="J380" s="1" t="s">
        <v>40</v>
      </c>
      <c r="K380" s="1" t="s">
        <v>41</v>
      </c>
      <c r="L380" s="1" t="s">
        <v>21</v>
      </c>
    </row>
    <row r="381" spans="1:12" x14ac:dyDescent="0.25">
      <c r="A381" s="1" t="s">
        <v>1081</v>
      </c>
      <c r="B381" s="1" t="s">
        <v>78</v>
      </c>
      <c r="C381" s="1" t="s">
        <v>79</v>
      </c>
      <c r="D381" s="1" t="s">
        <v>51</v>
      </c>
      <c r="E381" s="1" t="s">
        <v>143</v>
      </c>
      <c r="F381" s="1" t="s">
        <v>144</v>
      </c>
      <c r="G381" s="1" t="s">
        <v>47</v>
      </c>
      <c r="H381" s="1" t="s">
        <v>29</v>
      </c>
      <c r="I381" s="1" t="s">
        <v>83</v>
      </c>
      <c r="J381" s="1" t="s">
        <v>40</v>
      </c>
      <c r="K381" s="1" t="s">
        <v>41</v>
      </c>
      <c r="L381" s="1" t="s">
        <v>21</v>
      </c>
    </row>
    <row r="382" spans="1:12" x14ac:dyDescent="0.25">
      <c r="A382" s="1" t="s">
        <v>1082</v>
      </c>
      <c r="B382" s="1" t="s">
        <v>1083</v>
      </c>
      <c r="C382" s="1" t="s">
        <v>1084</v>
      </c>
      <c r="D382" s="1" t="s">
        <v>1085</v>
      </c>
      <c r="E382" s="1" t="s">
        <v>87</v>
      </c>
      <c r="F382" s="1" t="s">
        <v>128</v>
      </c>
      <c r="G382" s="1" t="s">
        <v>413</v>
      </c>
      <c r="H382" s="1" t="s">
        <v>29</v>
      </c>
      <c r="I382" s="1" t="s">
        <v>141</v>
      </c>
      <c r="J382" s="1" t="s">
        <v>19</v>
      </c>
      <c r="K382" s="1" t="s">
        <v>490</v>
      </c>
      <c r="L382" s="1" t="s">
        <v>21</v>
      </c>
    </row>
    <row r="383" spans="1:12" x14ac:dyDescent="0.25">
      <c r="A383" s="1" t="s">
        <v>1086</v>
      </c>
      <c r="B383" s="1" t="s">
        <v>940</v>
      </c>
      <c r="C383" s="1" t="s">
        <v>1087</v>
      </c>
      <c r="D383" s="1" t="s">
        <v>51</v>
      </c>
      <c r="E383" s="1" t="s">
        <v>87</v>
      </c>
      <c r="F383" s="1" t="s">
        <v>405</v>
      </c>
      <c r="G383" s="1" t="s">
        <v>16</v>
      </c>
      <c r="H383" s="1" t="s">
        <v>29</v>
      </c>
      <c r="I383" s="1" t="s">
        <v>141</v>
      </c>
      <c r="J383" s="1" t="s">
        <v>19</v>
      </c>
      <c r="K383" s="1" t="s">
        <v>258</v>
      </c>
      <c r="L383" s="1" t="s">
        <v>21</v>
      </c>
    </row>
    <row r="384" spans="1:12" x14ac:dyDescent="0.25">
      <c r="A384" s="1" t="s">
        <v>1088</v>
      </c>
      <c r="B384" s="1" t="s">
        <v>33</v>
      </c>
      <c r="C384" s="1" t="s">
        <v>34</v>
      </c>
      <c r="D384" s="1" t="s">
        <v>35</v>
      </c>
      <c r="E384" s="1" t="s">
        <v>146</v>
      </c>
      <c r="F384" s="1" t="s">
        <v>147</v>
      </c>
      <c r="G384" s="1" t="s">
        <v>38</v>
      </c>
      <c r="H384" s="1" t="s">
        <v>29</v>
      </c>
      <c r="I384" s="1" t="s">
        <v>39</v>
      </c>
      <c r="J384" s="1" t="s">
        <v>40</v>
      </c>
      <c r="K384" s="1" t="s">
        <v>41</v>
      </c>
      <c r="L384" s="1" t="s">
        <v>21</v>
      </c>
    </row>
    <row r="385" spans="1:12" x14ac:dyDescent="0.25">
      <c r="A385" s="1" t="s">
        <v>1089</v>
      </c>
      <c r="B385" s="1" t="s">
        <v>78</v>
      </c>
      <c r="C385" s="1" t="s">
        <v>79</v>
      </c>
      <c r="D385" s="1" t="s">
        <v>35</v>
      </c>
      <c r="E385" s="1" t="s">
        <v>80</v>
      </c>
      <c r="F385" s="1" t="s">
        <v>171</v>
      </c>
      <c r="G385" s="1" t="s">
        <v>82</v>
      </c>
      <c r="H385" s="1" t="s">
        <v>29</v>
      </c>
      <c r="I385" s="1" t="s">
        <v>83</v>
      </c>
      <c r="J385" s="1" t="s">
        <v>40</v>
      </c>
      <c r="K385" s="1" t="s">
        <v>41</v>
      </c>
      <c r="L385" s="1" t="s">
        <v>21</v>
      </c>
    </row>
    <row r="386" spans="1:12" x14ac:dyDescent="0.25">
      <c r="A386" s="1" t="s">
        <v>1090</v>
      </c>
      <c r="B386" s="1" t="s">
        <v>1091</v>
      </c>
      <c r="C386" s="1" t="s">
        <v>1092</v>
      </c>
      <c r="D386" s="1" t="s">
        <v>1093</v>
      </c>
      <c r="E386" s="1" t="s">
        <v>1094</v>
      </c>
      <c r="F386" s="1" t="s">
        <v>412</v>
      </c>
      <c r="G386" s="1" t="s">
        <v>413</v>
      </c>
      <c r="H386" s="1" t="s">
        <v>29</v>
      </c>
      <c r="I386" s="1" t="s">
        <v>354</v>
      </c>
      <c r="J386" s="1" t="s">
        <v>168</v>
      </c>
      <c r="K386" s="1" t="s">
        <v>169</v>
      </c>
      <c r="L386" s="1" t="s">
        <v>21</v>
      </c>
    </row>
    <row r="387" spans="1:12" x14ac:dyDescent="0.25">
      <c r="A387" s="1" t="s">
        <v>1095</v>
      </c>
      <c r="B387" s="1" t="s">
        <v>539</v>
      </c>
      <c r="C387" s="1" t="s">
        <v>540</v>
      </c>
      <c r="D387" s="1" t="s">
        <v>51</v>
      </c>
      <c r="E387" s="1" t="s">
        <v>122</v>
      </c>
      <c r="F387" s="1" t="s">
        <v>123</v>
      </c>
      <c r="G387" s="1" t="s">
        <v>413</v>
      </c>
      <c r="H387" s="1" t="s">
        <v>17</v>
      </c>
      <c r="I387" s="1" t="s">
        <v>141</v>
      </c>
      <c r="J387" s="1" t="s">
        <v>19</v>
      </c>
      <c r="K387" s="1" t="s">
        <v>258</v>
      </c>
      <c r="L387" s="1" t="s">
        <v>21</v>
      </c>
    </row>
    <row r="388" spans="1:12" x14ac:dyDescent="0.25">
      <c r="A388" s="1" t="s">
        <v>1096</v>
      </c>
      <c r="B388" s="1" t="s">
        <v>1097</v>
      </c>
      <c r="C388" s="1" t="s">
        <v>1098</v>
      </c>
      <c r="D388" s="1" t="s">
        <v>1099</v>
      </c>
      <c r="E388" s="1" t="s">
        <v>769</v>
      </c>
      <c r="F388" s="1" t="s">
        <v>123</v>
      </c>
      <c r="G388" s="1" t="s">
        <v>16</v>
      </c>
      <c r="H388" s="1" t="s">
        <v>29</v>
      </c>
      <c r="I388" s="1" t="s">
        <v>141</v>
      </c>
      <c r="J388" s="1" t="s">
        <v>168</v>
      </c>
      <c r="K388" s="1" t="s">
        <v>1100</v>
      </c>
      <c r="L388" s="1" t="s">
        <v>21</v>
      </c>
    </row>
    <row r="389" spans="1:12" x14ac:dyDescent="0.25">
      <c r="A389" s="1" t="s">
        <v>1101</v>
      </c>
      <c r="B389" s="1" t="s">
        <v>1102</v>
      </c>
      <c r="C389" s="1" t="s">
        <v>1103</v>
      </c>
      <c r="D389" s="1" t="s">
        <v>157</v>
      </c>
      <c r="E389" s="1" t="s">
        <v>400</v>
      </c>
      <c r="F389" s="1" t="s">
        <v>364</v>
      </c>
      <c r="G389" s="1" t="s">
        <v>129</v>
      </c>
      <c r="H389" s="1" t="s">
        <v>29</v>
      </c>
      <c r="I389" s="1" t="s">
        <v>141</v>
      </c>
      <c r="J389" s="1" t="s">
        <v>19</v>
      </c>
      <c r="K389" s="1" t="s">
        <v>248</v>
      </c>
      <c r="L389" s="1" t="s">
        <v>21</v>
      </c>
    </row>
    <row r="390" spans="1:12" x14ac:dyDescent="0.25">
      <c r="A390" s="1" t="s">
        <v>1104</v>
      </c>
      <c r="B390" s="1" t="s">
        <v>78</v>
      </c>
      <c r="C390" s="1" t="s">
        <v>79</v>
      </c>
      <c r="D390" s="1" t="s">
        <v>51</v>
      </c>
      <c r="E390" s="1" t="s">
        <v>173</v>
      </c>
      <c r="F390" s="1" t="s">
        <v>37</v>
      </c>
      <c r="G390" s="1" t="s">
        <v>174</v>
      </c>
      <c r="H390" s="1" t="s">
        <v>29</v>
      </c>
      <c r="I390" s="1" t="s">
        <v>83</v>
      </c>
      <c r="J390" s="1" t="s">
        <v>40</v>
      </c>
      <c r="K390" s="1" t="s">
        <v>41</v>
      </c>
      <c r="L390" s="1" t="s">
        <v>21</v>
      </c>
    </row>
    <row r="391" spans="1:12" x14ac:dyDescent="0.25">
      <c r="A391" s="1" t="s">
        <v>1105</v>
      </c>
      <c r="B391" s="1" t="s">
        <v>78</v>
      </c>
      <c r="C391" s="1" t="s">
        <v>79</v>
      </c>
      <c r="D391" s="1" t="s">
        <v>51</v>
      </c>
      <c r="E391" s="1" t="s">
        <v>80</v>
      </c>
      <c r="F391" s="1" t="s">
        <v>81</v>
      </c>
      <c r="G391" s="1" t="s">
        <v>82</v>
      </c>
      <c r="H391" s="1" t="s">
        <v>29</v>
      </c>
      <c r="I391" s="1" t="s">
        <v>83</v>
      </c>
      <c r="J391" s="1" t="s">
        <v>40</v>
      </c>
      <c r="K391" s="1" t="s">
        <v>41</v>
      </c>
      <c r="L391" s="1" t="s">
        <v>21</v>
      </c>
    </row>
    <row r="392" spans="1:12" x14ac:dyDescent="0.25">
      <c r="A392" s="1" t="s">
        <v>1106</v>
      </c>
      <c r="B392" s="1" t="s">
        <v>1033</v>
      </c>
      <c r="C392" s="1" t="s">
        <v>1034</v>
      </c>
      <c r="D392" s="1" t="s">
        <v>1107</v>
      </c>
      <c r="E392" s="1" t="s">
        <v>115</v>
      </c>
      <c r="F392" s="1" t="s">
        <v>116</v>
      </c>
      <c r="G392" s="1" t="s">
        <v>129</v>
      </c>
      <c r="H392" s="1" t="s">
        <v>17</v>
      </c>
      <c r="I392" s="1" t="s">
        <v>354</v>
      </c>
      <c r="J392" s="1" t="s">
        <v>40</v>
      </c>
      <c r="K392" s="1" t="s">
        <v>55</v>
      </c>
      <c r="L392" s="1" t="s">
        <v>21</v>
      </c>
    </row>
    <row r="393" spans="1:12" x14ac:dyDescent="0.25">
      <c r="A393" s="1" t="s">
        <v>1108</v>
      </c>
      <c r="B393" s="1" t="s">
        <v>266</v>
      </c>
      <c r="C393" s="1" t="s">
        <v>267</v>
      </c>
      <c r="D393" s="1" t="s">
        <v>51</v>
      </c>
      <c r="E393" s="1" t="s">
        <v>268</v>
      </c>
      <c r="F393" s="1" t="s">
        <v>123</v>
      </c>
      <c r="G393" s="1" t="s">
        <v>269</v>
      </c>
      <c r="H393" s="1" t="s">
        <v>17</v>
      </c>
      <c r="I393" s="1" t="s">
        <v>54</v>
      </c>
      <c r="J393" s="1" t="s">
        <v>19</v>
      </c>
      <c r="K393" s="1" t="s">
        <v>88</v>
      </c>
      <c r="L393" s="1" t="s">
        <v>21</v>
      </c>
    </row>
    <row r="394" spans="1:12" x14ac:dyDescent="0.25">
      <c r="A394" s="1" t="s">
        <v>1109</v>
      </c>
      <c r="B394" s="1" t="s">
        <v>767</v>
      </c>
      <c r="C394" s="1" t="s">
        <v>768</v>
      </c>
      <c r="D394" s="1" t="s">
        <v>417</v>
      </c>
      <c r="E394" s="1" t="s">
        <v>769</v>
      </c>
      <c r="F394" s="1" t="s">
        <v>123</v>
      </c>
      <c r="G394" s="1" t="s">
        <v>16</v>
      </c>
      <c r="H394" s="1" t="s">
        <v>29</v>
      </c>
      <c r="I394" s="1" t="s">
        <v>354</v>
      </c>
      <c r="J394" s="1" t="s">
        <v>168</v>
      </c>
      <c r="K394" s="1" t="s">
        <v>770</v>
      </c>
      <c r="L394" s="1" t="s">
        <v>21</v>
      </c>
    </row>
    <row r="395" spans="1:12" x14ac:dyDescent="0.25">
      <c r="A395" s="1" t="s">
        <v>1110</v>
      </c>
      <c r="B395" s="1" t="s">
        <v>1111</v>
      </c>
      <c r="C395" s="1" t="s">
        <v>1112</v>
      </c>
      <c r="D395" s="1" t="s">
        <v>51</v>
      </c>
      <c r="E395" s="1" t="s">
        <v>483</v>
      </c>
      <c r="F395" s="1" t="s">
        <v>405</v>
      </c>
      <c r="G395" s="1" t="s">
        <v>590</v>
      </c>
      <c r="H395" s="1" t="s">
        <v>29</v>
      </c>
      <c r="I395" s="1" t="s">
        <v>354</v>
      </c>
      <c r="J395" s="1" t="s">
        <v>168</v>
      </c>
      <c r="K395" s="1" t="s">
        <v>20</v>
      </c>
      <c r="L395" s="1" t="s">
        <v>21</v>
      </c>
    </row>
    <row r="396" spans="1:12" x14ac:dyDescent="0.25">
      <c r="A396" s="1" t="s">
        <v>1113</v>
      </c>
      <c r="B396" s="1" t="s">
        <v>33</v>
      </c>
      <c r="C396" s="1" t="s">
        <v>34</v>
      </c>
      <c r="D396" s="1" t="s">
        <v>186</v>
      </c>
      <c r="E396" s="1" t="s">
        <v>80</v>
      </c>
      <c r="F396" s="1" t="s">
        <v>187</v>
      </c>
      <c r="G396" s="1" t="s">
        <v>38</v>
      </c>
      <c r="H396" s="1" t="s">
        <v>29</v>
      </c>
      <c r="I396" s="1" t="s">
        <v>39</v>
      </c>
      <c r="J396" s="1" t="s">
        <v>40</v>
      </c>
      <c r="K396" s="1" t="s">
        <v>41</v>
      </c>
      <c r="L396" s="1" t="s">
        <v>21</v>
      </c>
    </row>
    <row r="397" spans="1:12" x14ac:dyDescent="0.25">
      <c r="A397" s="1" t="s">
        <v>1114</v>
      </c>
      <c r="B397" s="1" t="s">
        <v>488</v>
      </c>
      <c r="C397" s="1" t="s">
        <v>489</v>
      </c>
      <c r="D397" s="1" t="s">
        <v>51</v>
      </c>
      <c r="E397" s="1" t="s">
        <v>87</v>
      </c>
      <c r="F397" s="1" t="s">
        <v>405</v>
      </c>
      <c r="G397" s="1" t="s">
        <v>129</v>
      </c>
      <c r="H397" s="1" t="s">
        <v>17</v>
      </c>
      <c r="I397" s="1" t="s">
        <v>141</v>
      </c>
      <c r="J397" s="1" t="s">
        <v>19</v>
      </c>
      <c r="K397" s="1" t="s">
        <v>525</v>
      </c>
      <c r="L397" s="1" t="s">
        <v>21</v>
      </c>
    </row>
    <row r="398" spans="1:12" x14ac:dyDescent="0.25">
      <c r="A398" s="1" t="s">
        <v>1115</v>
      </c>
      <c r="B398" s="1" t="s">
        <v>1012</v>
      </c>
      <c r="C398" s="1" t="s">
        <v>1013</v>
      </c>
      <c r="D398" s="1" t="s">
        <v>45</v>
      </c>
      <c r="E398" s="1" t="s">
        <v>122</v>
      </c>
      <c r="F398" s="1" t="s">
        <v>307</v>
      </c>
      <c r="G398" s="1" t="s">
        <v>160</v>
      </c>
      <c r="H398" s="1" t="s">
        <v>29</v>
      </c>
      <c r="I398" s="1" t="s">
        <v>141</v>
      </c>
      <c r="J398" s="1" t="s">
        <v>30</v>
      </c>
      <c r="K398" s="1" t="s">
        <v>169</v>
      </c>
      <c r="L398" s="1" t="s">
        <v>21</v>
      </c>
    </row>
    <row r="399" spans="1:12" x14ac:dyDescent="0.25">
      <c r="A399" s="1" t="s">
        <v>1116</v>
      </c>
      <c r="B399" s="1" t="s">
        <v>1117</v>
      </c>
      <c r="C399" s="1" t="s">
        <v>1118</v>
      </c>
      <c r="D399" s="1" t="s">
        <v>51</v>
      </c>
      <c r="E399" s="1" t="s">
        <v>381</v>
      </c>
      <c r="F399" s="1" t="s">
        <v>60</v>
      </c>
      <c r="G399" s="1" t="s">
        <v>160</v>
      </c>
      <c r="H399" s="1" t="s">
        <v>29</v>
      </c>
      <c r="I399" s="1" t="s">
        <v>106</v>
      </c>
      <c r="J399" s="1" t="s">
        <v>168</v>
      </c>
      <c r="K399" s="1" t="s">
        <v>1119</v>
      </c>
      <c r="L399" s="1" t="s">
        <v>21</v>
      </c>
    </row>
    <row r="400" spans="1:12" x14ac:dyDescent="0.25">
      <c r="A400" s="1" t="s">
        <v>1120</v>
      </c>
      <c r="B400" s="1" t="s">
        <v>78</v>
      </c>
      <c r="C400" s="1" t="s">
        <v>79</v>
      </c>
      <c r="D400" s="1" t="s">
        <v>178</v>
      </c>
      <c r="E400" s="1" t="s">
        <v>210</v>
      </c>
      <c r="F400" s="1" t="s">
        <v>211</v>
      </c>
      <c r="G400" s="1" t="s">
        <v>212</v>
      </c>
      <c r="H400" s="1" t="s">
        <v>29</v>
      </c>
      <c r="I400" s="1" t="s">
        <v>83</v>
      </c>
      <c r="J400" s="1" t="s">
        <v>40</v>
      </c>
      <c r="K400" s="1" t="s">
        <v>41</v>
      </c>
      <c r="L400" s="1" t="s">
        <v>21</v>
      </c>
    </row>
    <row r="401" spans="1:12" x14ac:dyDescent="0.25">
      <c r="A401" s="1" t="s">
        <v>1121</v>
      </c>
      <c r="B401" s="1" t="s">
        <v>78</v>
      </c>
      <c r="C401" s="1" t="s">
        <v>214</v>
      </c>
      <c r="D401" s="1" t="s">
        <v>45</v>
      </c>
      <c r="E401" s="1" t="s">
        <v>215</v>
      </c>
      <c r="F401" s="1" t="s">
        <v>216</v>
      </c>
      <c r="G401" s="1" t="s">
        <v>82</v>
      </c>
      <c r="H401" s="1" t="s">
        <v>29</v>
      </c>
      <c r="I401" s="1" t="s">
        <v>83</v>
      </c>
      <c r="J401" s="1" t="s">
        <v>40</v>
      </c>
      <c r="K401" s="1" t="s">
        <v>41</v>
      </c>
      <c r="L401" s="1" t="s">
        <v>21</v>
      </c>
    </row>
    <row r="402" spans="1:12" x14ac:dyDescent="0.25">
      <c r="A402" s="1" t="s">
        <v>1122</v>
      </c>
      <c r="B402" s="1" t="s">
        <v>120</v>
      </c>
      <c r="C402" s="1" t="s">
        <v>121</v>
      </c>
      <c r="D402" s="1" t="s">
        <v>25</v>
      </c>
      <c r="E402" s="1" t="s">
        <v>109</v>
      </c>
      <c r="F402" s="1" t="s">
        <v>273</v>
      </c>
      <c r="G402" s="1" t="s">
        <v>160</v>
      </c>
      <c r="H402" s="1" t="s">
        <v>17</v>
      </c>
      <c r="I402" s="1" t="s">
        <v>54</v>
      </c>
      <c r="J402" s="1" t="s">
        <v>19</v>
      </c>
      <c r="K402" s="1" t="s">
        <v>258</v>
      </c>
      <c r="L402" s="1" t="s">
        <v>21</v>
      </c>
    </row>
    <row r="403" spans="1:12" x14ac:dyDescent="0.25">
      <c r="A403" s="1" t="s">
        <v>1123</v>
      </c>
      <c r="B403" s="1" t="s">
        <v>745</v>
      </c>
      <c r="C403" s="1" t="s">
        <v>746</v>
      </c>
      <c r="D403" s="1" t="s">
        <v>13</v>
      </c>
      <c r="E403" s="1" t="s">
        <v>352</v>
      </c>
      <c r="F403" s="1" t="s">
        <v>391</v>
      </c>
      <c r="G403" s="1" t="s">
        <v>99</v>
      </c>
      <c r="H403" s="1" t="s">
        <v>29</v>
      </c>
      <c r="I403" s="1" t="s">
        <v>141</v>
      </c>
      <c r="J403" s="1" t="s">
        <v>30</v>
      </c>
      <c r="K403" s="1" t="s">
        <v>20</v>
      </c>
      <c r="L403" s="1" t="s">
        <v>21</v>
      </c>
    </row>
    <row r="404" spans="1:12" x14ac:dyDescent="0.25">
      <c r="A404" s="1" t="s">
        <v>1124</v>
      </c>
      <c r="B404" s="1" t="s">
        <v>43</v>
      </c>
      <c r="C404" s="1" t="s">
        <v>44</v>
      </c>
      <c r="D404" s="1" t="s">
        <v>35</v>
      </c>
      <c r="E404" s="1" t="s">
        <v>45</v>
      </c>
      <c r="F404" s="1" t="s">
        <v>46</v>
      </c>
      <c r="G404" s="1" t="s">
        <v>47</v>
      </c>
      <c r="H404" s="1" t="s">
        <v>29</v>
      </c>
      <c r="I404" s="1" t="s">
        <v>39</v>
      </c>
      <c r="J404" s="1" t="s">
        <v>40</v>
      </c>
      <c r="K404" s="1" t="s">
        <v>41</v>
      </c>
      <c r="L404" s="1" t="s">
        <v>21</v>
      </c>
    </row>
    <row r="405" spans="1:12" x14ac:dyDescent="0.25">
      <c r="A405" s="1" t="s">
        <v>1125</v>
      </c>
      <c r="B405" s="1" t="s">
        <v>33</v>
      </c>
      <c r="C405" s="1" t="s">
        <v>34</v>
      </c>
      <c r="D405" s="1" t="s">
        <v>35</v>
      </c>
      <c r="E405" s="1" t="s">
        <v>36</v>
      </c>
      <c r="F405" s="1" t="s">
        <v>37</v>
      </c>
      <c r="G405" s="1" t="s">
        <v>38</v>
      </c>
      <c r="H405" s="1" t="s">
        <v>29</v>
      </c>
      <c r="I405" s="1" t="s">
        <v>39</v>
      </c>
      <c r="J405" s="1" t="s">
        <v>40</v>
      </c>
      <c r="K405" s="1" t="s">
        <v>41</v>
      </c>
      <c r="L405" s="1" t="s">
        <v>21</v>
      </c>
    </row>
    <row r="406" spans="1:12" x14ac:dyDescent="0.25">
      <c r="A406" s="1" t="s">
        <v>1126</v>
      </c>
      <c r="B406" s="1" t="s">
        <v>929</v>
      </c>
      <c r="C406" s="1" t="s">
        <v>930</v>
      </c>
      <c r="D406" s="1" t="s">
        <v>25</v>
      </c>
      <c r="E406" s="1" t="s">
        <v>109</v>
      </c>
      <c r="F406" s="1" t="s">
        <v>273</v>
      </c>
      <c r="G406" s="1" t="s">
        <v>337</v>
      </c>
      <c r="H406" s="1" t="s">
        <v>17</v>
      </c>
      <c r="I406" s="1" t="s">
        <v>141</v>
      </c>
      <c r="J406" s="1" t="s">
        <v>19</v>
      </c>
      <c r="K406" s="1" t="s">
        <v>55</v>
      </c>
      <c r="L406" s="1" t="s">
        <v>21</v>
      </c>
    </row>
    <row r="407" spans="1:12" x14ac:dyDescent="0.25">
      <c r="A407" s="1" t="s">
        <v>1127</v>
      </c>
      <c r="B407" s="1" t="s">
        <v>726</v>
      </c>
      <c r="C407" s="1" t="s">
        <v>727</v>
      </c>
      <c r="D407" s="1" t="s">
        <v>417</v>
      </c>
      <c r="E407" s="1" t="s">
        <v>742</v>
      </c>
      <c r="F407" s="1" t="s">
        <v>159</v>
      </c>
      <c r="G407" s="1" t="s">
        <v>16</v>
      </c>
      <c r="H407" s="1" t="s">
        <v>29</v>
      </c>
      <c r="I407" s="1" t="s">
        <v>141</v>
      </c>
      <c r="J407" s="1" t="s">
        <v>168</v>
      </c>
      <c r="K407" s="1" t="s">
        <v>743</v>
      </c>
      <c r="L407" s="1" t="s">
        <v>21</v>
      </c>
    </row>
    <row r="408" spans="1:12" x14ac:dyDescent="0.25">
      <c r="A408" s="1" t="s">
        <v>1128</v>
      </c>
      <c r="B408" s="1" t="s">
        <v>1030</v>
      </c>
      <c r="C408" s="1" t="s">
        <v>1059</v>
      </c>
      <c r="D408" s="1" t="s">
        <v>13</v>
      </c>
      <c r="E408" s="1" t="s">
        <v>92</v>
      </c>
      <c r="F408" s="1" t="s">
        <v>307</v>
      </c>
      <c r="G408" s="1" t="s">
        <v>337</v>
      </c>
      <c r="H408" s="1" t="s">
        <v>17</v>
      </c>
      <c r="I408" s="1" t="s">
        <v>141</v>
      </c>
      <c r="J408" s="1" t="s">
        <v>19</v>
      </c>
      <c r="K408" s="1" t="s">
        <v>55</v>
      </c>
      <c r="L408" s="1" t="s">
        <v>21</v>
      </c>
    </row>
    <row r="409" spans="1:12" x14ac:dyDescent="0.25">
      <c r="A409" s="1" t="s">
        <v>1129</v>
      </c>
      <c r="B409" s="1" t="s">
        <v>539</v>
      </c>
      <c r="C409" s="1" t="s">
        <v>540</v>
      </c>
      <c r="D409" s="1" t="s">
        <v>13</v>
      </c>
      <c r="E409" s="1" t="s">
        <v>109</v>
      </c>
      <c r="F409" s="1" t="s">
        <v>412</v>
      </c>
      <c r="G409" s="1" t="s">
        <v>459</v>
      </c>
      <c r="H409" s="1" t="s">
        <v>17</v>
      </c>
      <c r="I409" s="1" t="s">
        <v>141</v>
      </c>
      <c r="J409" s="1" t="s">
        <v>19</v>
      </c>
      <c r="K409" s="1" t="s">
        <v>55</v>
      </c>
      <c r="L409" s="1" t="s">
        <v>21</v>
      </c>
    </row>
    <row r="410" spans="1:12" x14ac:dyDescent="0.25">
      <c r="A410" s="1" t="s">
        <v>1130</v>
      </c>
      <c r="B410" s="1" t="s">
        <v>78</v>
      </c>
      <c r="C410" s="1" t="s">
        <v>79</v>
      </c>
      <c r="D410" s="1" t="s">
        <v>51</v>
      </c>
      <c r="E410" s="1" t="s">
        <v>80</v>
      </c>
      <c r="F410" s="1" t="s">
        <v>81</v>
      </c>
      <c r="G410" s="1" t="s">
        <v>82</v>
      </c>
      <c r="H410" s="1" t="s">
        <v>29</v>
      </c>
      <c r="I410" s="1" t="s">
        <v>83</v>
      </c>
      <c r="J410" s="1" t="s">
        <v>40</v>
      </c>
      <c r="K410" s="1" t="s">
        <v>41</v>
      </c>
      <c r="L410" s="1" t="s">
        <v>21</v>
      </c>
    </row>
    <row r="411" spans="1:12" x14ac:dyDescent="0.25">
      <c r="A411" s="1" t="s">
        <v>1131</v>
      </c>
      <c r="B411" s="1" t="s">
        <v>78</v>
      </c>
      <c r="C411" s="1" t="s">
        <v>79</v>
      </c>
      <c r="D411" s="1" t="s">
        <v>96</v>
      </c>
      <c r="E411" s="1" t="s">
        <v>97</v>
      </c>
      <c r="F411" s="1" t="s">
        <v>98</v>
      </c>
      <c r="G411" s="1" t="s">
        <v>99</v>
      </c>
      <c r="H411" s="1" t="s">
        <v>29</v>
      </c>
      <c r="I411" s="1" t="s">
        <v>83</v>
      </c>
      <c r="J411" s="1" t="s">
        <v>40</v>
      </c>
      <c r="K411" s="1" t="s">
        <v>41</v>
      </c>
      <c r="L411" s="1" t="s">
        <v>21</v>
      </c>
    </row>
    <row r="412" spans="1:12" x14ac:dyDescent="0.25">
      <c r="A412" s="1" t="s">
        <v>1132</v>
      </c>
      <c r="B412" s="1" t="s">
        <v>1064</v>
      </c>
      <c r="C412" s="1" t="s">
        <v>1065</v>
      </c>
      <c r="D412" s="1" t="s">
        <v>25</v>
      </c>
      <c r="E412" s="1" t="s">
        <v>109</v>
      </c>
      <c r="F412" s="1" t="s">
        <v>273</v>
      </c>
      <c r="G412" s="1" t="s">
        <v>413</v>
      </c>
      <c r="H412" s="1" t="s">
        <v>17</v>
      </c>
      <c r="I412" s="1" t="s">
        <v>141</v>
      </c>
      <c r="J412" s="1" t="s">
        <v>19</v>
      </c>
      <c r="K412" s="1" t="s">
        <v>55</v>
      </c>
      <c r="L412" s="1" t="s">
        <v>21</v>
      </c>
    </row>
    <row r="413" spans="1:12" x14ac:dyDescent="0.25">
      <c r="A413" s="1" t="s">
        <v>1133</v>
      </c>
      <c r="B413" s="1" t="s">
        <v>781</v>
      </c>
      <c r="C413" s="1" t="s">
        <v>782</v>
      </c>
      <c r="D413" s="1" t="s">
        <v>579</v>
      </c>
      <c r="E413" s="1" t="s">
        <v>783</v>
      </c>
      <c r="F413" s="1" t="s">
        <v>53</v>
      </c>
      <c r="G413" s="1" t="s">
        <v>16</v>
      </c>
      <c r="H413" s="1" t="s">
        <v>17</v>
      </c>
      <c r="I413" s="1" t="s">
        <v>94</v>
      </c>
      <c r="J413" s="1" t="s">
        <v>168</v>
      </c>
      <c r="K413" s="1" t="s">
        <v>784</v>
      </c>
      <c r="L413" s="1" t="s">
        <v>21</v>
      </c>
    </row>
    <row r="414" spans="1:12" x14ac:dyDescent="0.25">
      <c r="A414" s="1" t="s">
        <v>1134</v>
      </c>
      <c r="B414" s="1" t="s">
        <v>101</v>
      </c>
      <c r="C414" s="1" t="s">
        <v>102</v>
      </c>
      <c r="D414" s="1" t="s">
        <v>103</v>
      </c>
      <c r="E414" s="1" t="s">
        <v>104</v>
      </c>
      <c r="F414" s="1" t="s">
        <v>105</v>
      </c>
      <c r="G414" s="1" t="s">
        <v>47</v>
      </c>
      <c r="H414" s="1" t="s">
        <v>29</v>
      </c>
      <c r="I414" s="1" t="s">
        <v>106</v>
      </c>
      <c r="J414" s="1" t="s">
        <v>40</v>
      </c>
      <c r="K414" s="1" t="s">
        <v>41</v>
      </c>
      <c r="L414" s="1" t="s">
        <v>21</v>
      </c>
    </row>
    <row r="415" spans="1:12" x14ac:dyDescent="0.25">
      <c r="A415" s="1" t="s">
        <v>1135</v>
      </c>
      <c r="B415" s="1" t="s">
        <v>43</v>
      </c>
      <c r="C415" s="1" t="s">
        <v>44</v>
      </c>
      <c r="D415" s="1" t="s">
        <v>35</v>
      </c>
      <c r="E415" s="1" t="s">
        <v>45</v>
      </c>
      <c r="F415" s="1" t="s">
        <v>46</v>
      </c>
      <c r="G415" s="1" t="s">
        <v>47</v>
      </c>
      <c r="H415" s="1" t="s">
        <v>29</v>
      </c>
      <c r="I415" s="1" t="s">
        <v>39</v>
      </c>
      <c r="J415" s="1" t="s">
        <v>40</v>
      </c>
      <c r="K415" s="1" t="s">
        <v>41</v>
      </c>
      <c r="L415" s="1" t="s">
        <v>21</v>
      </c>
    </row>
    <row r="416" spans="1:12" x14ac:dyDescent="0.25">
      <c r="A416" s="1" t="s">
        <v>1136</v>
      </c>
      <c r="B416" s="1" t="s">
        <v>1071</v>
      </c>
      <c r="C416" s="1" t="s">
        <v>1072</v>
      </c>
      <c r="D416" s="1" t="s">
        <v>1073</v>
      </c>
      <c r="E416" s="1" t="s">
        <v>326</v>
      </c>
      <c r="F416" s="1" t="s">
        <v>405</v>
      </c>
      <c r="G416" s="1" t="s">
        <v>38</v>
      </c>
      <c r="H416" s="1" t="s">
        <v>17</v>
      </c>
      <c r="I416" s="1" t="s">
        <v>117</v>
      </c>
      <c r="J416" s="1" t="s">
        <v>40</v>
      </c>
      <c r="K416" s="1" t="s">
        <v>763</v>
      </c>
      <c r="L416" s="1" t="s">
        <v>21</v>
      </c>
    </row>
    <row r="417" spans="1:12" x14ac:dyDescent="0.25">
      <c r="A417" s="1" t="s">
        <v>1137</v>
      </c>
      <c r="B417" s="1" t="s">
        <v>790</v>
      </c>
      <c r="C417" s="1" t="s">
        <v>791</v>
      </c>
      <c r="D417" s="1" t="s">
        <v>792</v>
      </c>
      <c r="E417" s="1" t="s">
        <v>793</v>
      </c>
      <c r="F417" s="1" t="s">
        <v>794</v>
      </c>
      <c r="G417" s="1" t="s">
        <v>160</v>
      </c>
      <c r="H417" s="1" t="s">
        <v>29</v>
      </c>
      <c r="I417" s="1" t="s">
        <v>141</v>
      </c>
      <c r="J417" s="1" t="s">
        <v>19</v>
      </c>
      <c r="K417" s="1" t="s">
        <v>795</v>
      </c>
      <c r="L417" s="1" t="s">
        <v>21</v>
      </c>
    </row>
    <row r="418" spans="1:12" x14ac:dyDescent="0.25">
      <c r="A418" s="1" t="s">
        <v>1138</v>
      </c>
      <c r="B418" s="1" t="s">
        <v>1076</v>
      </c>
      <c r="C418" s="1" t="s">
        <v>1077</v>
      </c>
      <c r="D418" s="1" t="s">
        <v>157</v>
      </c>
      <c r="E418" s="1" t="s">
        <v>515</v>
      </c>
      <c r="F418" s="1" t="s">
        <v>220</v>
      </c>
      <c r="G418" s="1" t="s">
        <v>129</v>
      </c>
      <c r="H418" s="1" t="s">
        <v>17</v>
      </c>
      <c r="I418" s="1" t="s">
        <v>354</v>
      </c>
      <c r="J418" s="1" t="s">
        <v>19</v>
      </c>
      <c r="K418" s="1" t="s">
        <v>1078</v>
      </c>
      <c r="L418" s="1" t="s">
        <v>21</v>
      </c>
    </row>
    <row r="419" spans="1:12" x14ac:dyDescent="0.25">
      <c r="A419" s="1" t="s">
        <v>1139</v>
      </c>
      <c r="B419" s="1" t="s">
        <v>929</v>
      </c>
      <c r="C419" s="1" t="s">
        <v>930</v>
      </c>
      <c r="D419" s="1" t="s">
        <v>25</v>
      </c>
      <c r="E419" s="1" t="s">
        <v>109</v>
      </c>
      <c r="F419" s="1" t="s">
        <v>273</v>
      </c>
      <c r="G419" s="1" t="s">
        <v>47</v>
      </c>
      <c r="H419" s="1" t="s">
        <v>17</v>
      </c>
      <c r="I419" s="1" t="s">
        <v>141</v>
      </c>
      <c r="J419" s="1" t="s">
        <v>19</v>
      </c>
      <c r="K419" s="1" t="s">
        <v>55</v>
      </c>
      <c r="L419" s="1" t="s">
        <v>21</v>
      </c>
    </row>
    <row r="420" spans="1:12" x14ac:dyDescent="0.25">
      <c r="A420" s="1" t="s">
        <v>1140</v>
      </c>
      <c r="B420" s="1" t="s">
        <v>43</v>
      </c>
      <c r="C420" s="1" t="s">
        <v>44</v>
      </c>
      <c r="D420" s="1" t="s">
        <v>35</v>
      </c>
      <c r="E420" s="1" t="s">
        <v>45</v>
      </c>
      <c r="F420" s="1" t="s">
        <v>46</v>
      </c>
      <c r="G420" s="1" t="s">
        <v>47</v>
      </c>
      <c r="H420" s="1" t="s">
        <v>29</v>
      </c>
      <c r="I420" s="1" t="s">
        <v>39</v>
      </c>
      <c r="J420" s="1" t="s">
        <v>40</v>
      </c>
      <c r="K420" s="1" t="s">
        <v>41</v>
      </c>
      <c r="L420" s="1" t="s">
        <v>21</v>
      </c>
    </row>
    <row r="421" spans="1:12" x14ac:dyDescent="0.25">
      <c r="A421" s="1" t="s">
        <v>1141</v>
      </c>
      <c r="B421" s="1" t="s">
        <v>78</v>
      </c>
      <c r="C421" s="1" t="s">
        <v>79</v>
      </c>
      <c r="D421" s="1" t="s">
        <v>51</v>
      </c>
      <c r="E421" s="1" t="s">
        <v>143</v>
      </c>
      <c r="F421" s="1" t="s">
        <v>144</v>
      </c>
      <c r="G421" s="1" t="s">
        <v>47</v>
      </c>
      <c r="H421" s="1" t="s">
        <v>29</v>
      </c>
      <c r="I421" s="1" t="s">
        <v>83</v>
      </c>
      <c r="J421" s="1" t="s">
        <v>40</v>
      </c>
      <c r="K421" s="1" t="s">
        <v>41</v>
      </c>
      <c r="L421" s="1" t="s">
        <v>21</v>
      </c>
    </row>
    <row r="422" spans="1:12" x14ac:dyDescent="0.25">
      <c r="A422" s="1" t="s">
        <v>1142</v>
      </c>
      <c r="B422" s="1" t="s">
        <v>1083</v>
      </c>
      <c r="C422" s="1" t="s">
        <v>1084</v>
      </c>
      <c r="D422" s="1" t="s">
        <v>1085</v>
      </c>
      <c r="E422" s="1" t="s">
        <v>87</v>
      </c>
      <c r="F422" s="1" t="s">
        <v>128</v>
      </c>
      <c r="G422" s="1" t="s">
        <v>413</v>
      </c>
      <c r="H422" s="1" t="s">
        <v>29</v>
      </c>
      <c r="I422" s="1" t="s">
        <v>141</v>
      </c>
      <c r="J422" s="1" t="s">
        <v>19</v>
      </c>
      <c r="K422" s="1" t="s">
        <v>490</v>
      </c>
      <c r="L422" s="1" t="s">
        <v>21</v>
      </c>
    </row>
    <row r="423" spans="1:12" x14ac:dyDescent="0.25">
      <c r="A423" s="1" t="s">
        <v>1143</v>
      </c>
      <c r="B423" s="1" t="s">
        <v>940</v>
      </c>
      <c r="C423" s="1" t="s">
        <v>1087</v>
      </c>
      <c r="D423" s="1" t="s">
        <v>51</v>
      </c>
      <c r="E423" s="1" t="s">
        <v>87</v>
      </c>
      <c r="F423" s="1" t="s">
        <v>405</v>
      </c>
      <c r="G423" s="1" t="s">
        <v>16</v>
      </c>
      <c r="H423" s="1" t="s">
        <v>29</v>
      </c>
      <c r="I423" s="1" t="s">
        <v>141</v>
      </c>
      <c r="J423" s="1" t="s">
        <v>19</v>
      </c>
      <c r="K423" s="1" t="s">
        <v>258</v>
      </c>
      <c r="L423" s="1" t="s">
        <v>21</v>
      </c>
    </row>
    <row r="424" spans="1:12" x14ac:dyDescent="0.25">
      <c r="A424" s="1" t="s">
        <v>1144</v>
      </c>
      <c r="B424" s="1" t="s">
        <v>33</v>
      </c>
      <c r="C424" s="1" t="s">
        <v>34</v>
      </c>
      <c r="D424" s="1" t="s">
        <v>35</v>
      </c>
      <c r="E424" s="1" t="s">
        <v>146</v>
      </c>
      <c r="F424" s="1" t="s">
        <v>147</v>
      </c>
      <c r="G424" s="1" t="s">
        <v>38</v>
      </c>
      <c r="H424" s="1" t="s">
        <v>29</v>
      </c>
      <c r="I424" s="1" t="s">
        <v>39</v>
      </c>
      <c r="J424" s="1" t="s">
        <v>40</v>
      </c>
      <c r="K424" s="1" t="s">
        <v>41</v>
      </c>
      <c r="L424" s="1" t="s">
        <v>21</v>
      </c>
    </row>
    <row r="425" spans="1:12" x14ac:dyDescent="0.25">
      <c r="A425" s="1" t="s">
        <v>1145</v>
      </c>
      <c r="B425" s="1" t="s">
        <v>78</v>
      </c>
      <c r="C425" s="1" t="s">
        <v>79</v>
      </c>
      <c r="D425" s="1" t="s">
        <v>35</v>
      </c>
      <c r="E425" s="1" t="s">
        <v>80</v>
      </c>
      <c r="F425" s="1" t="s">
        <v>171</v>
      </c>
      <c r="G425" s="1" t="s">
        <v>82</v>
      </c>
      <c r="H425" s="1" t="s">
        <v>29</v>
      </c>
      <c r="I425" s="1" t="s">
        <v>83</v>
      </c>
      <c r="J425" s="1" t="s">
        <v>40</v>
      </c>
      <c r="K425" s="1" t="s">
        <v>41</v>
      </c>
      <c r="L425" s="1" t="s">
        <v>21</v>
      </c>
    </row>
    <row r="426" spans="1:12" x14ac:dyDescent="0.25">
      <c r="A426" s="1" t="s">
        <v>1146</v>
      </c>
      <c r="B426" s="1" t="s">
        <v>1091</v>
      </c>
      <c r="C426" s="1" t="s">
        <v>1092</v>
      </c>
      <c r="D426" s="1" t="s">
        <v>1093</v>
      </c>
      <c r="E426" s="1" t="s">
        <v>1094</v>
      </c>
      <c r="F426" s="1" t="s">
        <v>412</v>
      </c>
      <c r="G426" s="1" t="s">
        <v>413</v>
      </c>
      <c r="H426" s="1" t="s">
        <v>29</v>
      </c>
      <c r="I426" s="1" t="s">
        <v>354</v>
      </c>
      <c r="J426" s="1" t="s">
        <v>168</v>
      </c>
      <c r="K426" s="1" t="s">
        <v>169</v>
      </c>
      <c r="L426" s="1" t="s">
        <v>21</v>
      </c>
    </row>
    <row r="427" spans="1:12" x14ac:dyDescent="0.25">
      <c r="A427" s="1" t="s">
        <v>1147</v>
      </c>
      <c r="B427" s="1" t="s">
        <v>539</v>
      </c>
      <c r="C427" s="1" t="s">
        <v>540</v>
      </c>
      <c r="D427" s="1" t="s">
        <v>51</v>
      </c>
      <c r="E427" s="1" t="s">
        <v>122</v>
      </c>
      <c r="F427" s="1" t="s">
        <v>123</v>
      </c>
      <c r="G427" s="1" t="s">
        <v>413</v>
      </c>
      <c r="H427" s="1" t="s">
        <v>17</v>
      </c>
      <c r="I427" s="1" t="s">
        <v>141</v>
      </c>
      <c r="J427" s="1" t="s">
        <v>19</v>
      </c>
      <c r="K427" s="1" t="s">
        <v>258</v>
      </c>
      <c r="L427" s="1" t="s">
        <v>21</v>
      </c>
    </row>
    <row r="428" spans="1:12" x14ac:dyDescent="0.25">
      <c r="A428" s="1" t="s">
        <v>1148</v>
      </c>
      <c r="B428" s="1" t="s">
        <v>1097</v>
      </c>
      <c r="C428" s="1" t="s">
        <v>1098</v>
      </c>
      <c r="D428" s="1" t="s">
        <v>1099</v>
      </c>
      <c r="E428" s="1" t="s">
        <v>769</v>
      </c>
      <c r="F428" s="1" t="s">
        <v>123</v>
      </c>
      <c r="G428" s="1" t="s">
        <v>16</v>
      </c>
      <c r="H428" s="1" t="s">
        <v>29</v>
      </c>
      <c r="I428" s="1" t="s">
        <v>141</v>
      </c>
      <c r="J428" s="1" t="s">
        <v>168</v>
      </c>
      <c r="K428" s="1" t="s">
        <v>1100</v>
      </c>
      <c r="L428" s="1" t="s">
        <v>21</v>
      </c>
    </row>
    <row r="429" spans="1:12" x14ac:dyDescent="0.25">
      <c r="A429" s="1" t="s">
        <v>1149</v>
      </c>
      <c r="B429" s="1" t="s">
        <v>1102</v>
      </c>
      <c r="C429" s="1" t="s">
        <v>1103</v>
      </c>
      <c r="D429" s="1" t="s">
        <v>157</v>
      </c>
      <c r="E429" s="1" t="s">
        <v>400</v>
      </c>
      <c r="F429" s="1" t="s">
        <v>364</v>
      </c>
      <c r="G429" s="1" t="s">
        <v>129</v>
      </c>
      <c r="H429" s="1" t="s">
        <v>29</v>
      </c>
      <c r="I429" s="1" t="s">
        <v>141</v>
      </c>
      <c r="J429" s="1" t="s">
        <v>19</v>
      </c>
      <c r="K429" s="1" t="s">
        <v>248</v>
      </c>
      <c r="L429" s="1" t="s">
        <v>21</v>
      </c>
    </row>
    <row r="430" spans="1:12" x14ac:dyDescent="0.25">
      <c r="A430" s="1" t="s">
        <v>1150</v>
      </c>
      <c r="B430" s="1" t="s">
        <v>78</v>
      </c>
      <c r="C430" s="1" t="s">
        <v>79</v>
      </c>
      <c r="D430" s="1" t="s">
        <v>51</v>
      </c>
      <c r="E430" s="1" t="s">
        <v>173</v>
      </c>
      <c r="F430" s="1" t="s">
        <v>37</v>
      </c>
      <c r="G430" s="1" t="s">
        <v>174</v>
      </c>
      <c r="H430" s="1" t="s">
        <v>29</v>
      </c>
      <c r="I430" s="1" t="s">
        <v>83</v>
      </c>
      <c r="J430" s="1" t="s">
        <v>40</v>
      </c>
      <c r="K430" s="1" t="s">
        <v>41</v>
      </c>
      <c r="L430" s="1" t="s">
        <v>21</v>
      </c>
    </row>
    <row r="431" spans="1:12" x14ac:dyDescent="0.25">
      <c r="A431" s="1" t="s">
        <v>1151</v>
      </c>
      <c r="B431" s="1" t="s">
        <v>78</v>
      </c>
      <c r="C431" s="1" t="s">
        <v>79</v>
      </c>
      <c r="D431" s="1" t="s">
        <v>51</v>
      </c>
      <c r="E431" s="1" t="s">
        <v>80</v>
      </c>
      <c r="F431" s="1" t="s">
        <v>81</v>
      </c>
      <c r="G431" s="1" t="s">
        <v>82</v>
      </c>
      <c r="H431" s="1" t="s">
        <v>29</v>
      </c>
      <c r="I431" s="1" t="s">
        <v>83</v>
      </c>
      <c r="J431" s="1" t="s">
        <v>40</v>
      </c>
      <c r="K431" s="1" t="s">
        <v>41</v>
      </c>
      <c r="L431" s="1" t="s">
        <v>21</v>
      </c>
    </row>
    <row r="432" spans="1:12" x14ac:dyDescent="0.25">
      <c r="A432" s="1" t="s">
        <v>1152</v>
      </c>
      <c r="B432" s="1" t="s">
        <v>1033</v>
      </c>
      <c r="C432" s="1" t="s">
        <v>1034</v>
      </c>
      <c r="D432" s="1" t="s">
        <v>1107</v>
      </c>
      <c r="E432" s="1" t="s">
        <v>115</v>
      </c>
      <c r="F432" s="1" t="s">
        <v>116</v>
      </c>
      <c r="G432" s="1" t="s">
        <v>129</v>
      </c>
      <c r="H432" s="1" t="s">
        <v>17</v>
      </c>
      <c r="I432" s="1" t="s">
        <v>354</v>
      </c>
      <c r="J432" s="1" t="s">
        <v>40</v>
      </c>
      <c r="K432" s="1" t="s">
        <v>55</v>
      </c>
      <c r="L432" s="1" t="s">
        <v>21</v>
      </c>
    </row>
    <row r="433" spans="1:12" x14ac:dyDescent="0.25">
      <c r="A433" s="1" t="s">
        <v>1153</v>
      </c>
      <c r="B433" s="1" t="s">
        <v>266</v>
      </c>
      <c r="C433" s="1" t="s">
        <v>267</v>
      </c>
      <c r="D433" s="1" t="s">
        <v>51</v>
      </c>
      <c r="E433" s="1" t="s">
        <v>268</v>
      </c>
      <c r="F433" s="1" t="s">
        <v>123</v>
      </c>
      <c r="G433" s="1" t="s">
        <v>269</v>
      </c>
      <c r="H433" s="1" t="s">
        <v>17</v>
      </c>
      <c r="I433" s="1" t="s">
        <v>54</v>
      </c>
      <c r="J433" s="1" t="s">
        <v>19</v>
      </c>
      <c r="K433" s="1" t="s">
        <v>88</v>
      </c>
      <c r="L433" s="1" t="s">
        <v>21</v>
      </c>
    </row>
    <row r="434" spans="1:12" x14ac:dyDescent="0.25">
      <c r="A434" s="1" t="s">
        <v>1154</v>
      </c>
      <c r="B434" s="1" t="s">
        <v>767</v>
      </c>
      <c r="C434" s="1" t="s">
        <v>768</v>
      </c>
      <c r="D434" s="1" t="s">
        <v>417</v>
      </c>
      <c r="E434" s="1" t="s">
        <v>769</v>
      </c>
      <c r="F434" s="1" t="s">
        <v>123</v>
      </c>
      <c r="G434" s="1" t="s">
        <v>16</v>
      </c>
      <c r="H434" s="1" t="s">
        <v>29</v>
      </c>
      <c r="I434" s="1" t="s">
        <v>354</v>
      </c>
      <c r="J434" s="1" t="s">
        <v>168</v>
      </c>
      <c r="K434" s="1" t="s">
        <v>770</v>
      </c>
      <c r="L434" s="1" t="s">
        <v>21</v>
      </c>
    </row>
    <row r="435" spans="1:12" x14ac:dyDescent="0.25">
      <c r="A435" s="1" t="s">
        <v>1155</v>
      </c>
      <c r="B435" s="1" t="s">
        <v>1111</v>
      </c>
      <c r="C435" s="1" t="s">
        <v>1112</v>
      </c>
      <c r="D435" s="1" t="s">
        <v>51</v>
      </c>
      <c r="E435" s="1" t="s">
        <v>483</v>
      </c>
      <c r="F435" s="1" t="s">
        <v>405</v>
      </c>
      <c r="G435" s="1" t="s">
        <v>590</v>
      </c>
      <c r="H435" s="1" t="s">
        <v>29</v>
      </c>
      <c r="I435" s="1" t="s">
        <v>354</v>
      </c>
      <c r="J435" s="1" t="s">
        <v>168</v>
      </c>
      <c r="K435" s="1" t="s">
        <v>20</v>
      </c>
      <c r="L435" s="1" t="s">
        <v>21</v>
      </c>
    </row>
    <row r="436" spans="1:12" x14ac:dyDescent="0.25">
      <c r="A436" s="1" t="s">
        <v>1156</v>
      </c>
      <c r="B436" s="1" t="s">
        <v>33</v>
      </c>
      <c r="C436" s="1" t="s">
        <v>34</v>
      </c>
      <c r="D436" s="1" t="s">
        <v>186</v>
      </c>
      <c r="E436" s="1" t="s">
        <v>80</v>
      </c>
      <c r="F436" s="1" t="s">
        <v>187</v>
      </c>
      <c r="G436" s="1" t="s">
        <v>38</v>
      </c>
      <c r="H436" s="1" t="s">
        <v>29</v>
      </c>
      <c r="I436" s="1" t="s">
        <v>39</v>
      </c>
      <c r="J436" s="1" t="s">
        <v>40</v>
      </c>
      <c r="K436" s="1" t="s">
        <v>41</v>
      </c>
      <c r="L436" s="1" t="s">
        <v>21</v>
      </c>
    </row>
    <row r="437" spans="1:12" x14ac:dyDescent="0.25">
      <c r="A437" s="1" t="s">
        <v>1157</v>
      </c>
      <c r="B437" s="1" t="s">
        <v>488</v>
      </c>
      <c r="C437" s="1" t="s">
        <v>489</v>
      </c>
      <c r="D437" s="1" t="s">
        <v>51</v>
      </c>
      <c r="E437" s="1" t="s">
        <v>87</v>
      </c>
      <c r="F437" s="1" t="s">
        <v>405</v>
      </c>
      <c r="G437" s="1" t="s">
        <v>129</v>
      </c>
      <c r="H437" s="1" t="s">
        <v>17</v>
      </c>
      <c r="I437" s="1" t="s">
        <v>141</v>
      </c>
      <c r="J437" s="1" t="s">
        <v>19</v>
      </c>
      <c r="K437" s="1" t="s">
        <v>525</v>
      </c>
      <c r="L437" s="1" t="s">
        <v>21</v>
      </c>
    </row>
    <row r="438" spans="1:12" x14ac:dyDescent="0.25">
      <c r="A438" s="1" t="s">
        <v>1158</v>
      </c>
      <c r="B438" s="1" t="s">
        <v>1012</v>
      </c>
      <c r="C438" s="1" t="s">
        <v>1013</v>
      </c>
      <c r="D438" s="1" t="s">
        <v>45</v>
      </c>
      <c r="E438" s="1" t="s">
        <v>122</v>
      </c>
      <c r="F438" s="1" t="s">
        <v>307</v>
      </c>
      <c r="G438" s="1" t="s">
        <v>160</v>
      </c>
      <c r="H438" s="1" t="s">
        <v>29</v>
      </c>
      <c r="I438" s="1" t="s">
        <v>141</v>
      </c>
      <c r="J438" s="1" t="s">
        <v>30</v>
      </c>
      <c r="K438" s="1" t="s">
        <v>169</v>
      </c>
      <c r="L438" s="1" t="s">
        <v>21</v>
      </c>
    </row>
    <row r="439" spans="1:12" x14ac:dyDescent="0.25">
      <c r="A439" s="1" t="s">
        <v>1159</v>
      </c>
      <c r="B439" s="1" t="s">
        <v>1117</v>
      </c>
      <c r="C439" s="1" t="s">
        <v>1118</v>
      </c>
      <c r="D439" s="1" t="s">
        <v>51</v>
      </c>
      <c r="E439" s="1" t="s">
        <v>381</v>
      </c>
      <c r="F439" s="1" t="s">
        <v>60</v>
      </c>
      <c r="G439" s="1" t="s">
        <v>160</v>
      </c>
      <c r="H439" s="1" t="s">
        <v>29</v>
      </c>
      <c r="I439" s="1" t="s">
        <v>106</v>
      </c>
      <c r="J439" s="1" t="s">
        <v>168</v>
      </c>
      <c r="K439" s="1" t="s">
        <v>1119</v>
      </c>
      <c r="L439" s="1" t="s">
        <v>21</v>
      </c>
    </row>
    <row r="440" spans="1:12" x14ac:dyDescent="0.25">
      <c r="A440" s="1" t="s">
        <v>1160</v>
      </c>
      <c r="B440" s="1" t="s">
        <v>78</v>
      </c>
      <c r="C440" s="1" t="s">
        <v>79</v>
      </c>
      <c r="D440" s="1" t="s">
        <v>178</v>
      </c>
      <c r="E440" s="1" t="s">
        <v>210</v>
      </c>
      <c r="F440" s="1" t="s">
        <v>211</v>
      </c>
      <c r="G440" s="1" t="s">
        <v>212</v>
      </c>
      <c r="H440" s="1" t="s">
        <v>29</v>
      </c>
      <c r="I440" s="1" t="s">
        <v>83</v>
      </c>
      <c r="J440" s="1" t="s">
        <v>40</v>
      </c>
      <c r="K440" s="1" t="s">
        <v>41</v>
      </c>
      <c r="L440" s="1" t="s">
        <v>21</v>
      </c>
    </row>
    <row r="441" spans="1:12" x14ac:dyDescent="0.25">
      <c r="A441" s="1" t="s">
        <v>1161</v>
      </c>
      <c r="B441" s="1" t="s">
        <v>78</v>
      </c>
      <c r="C441" s="1" t="s">
        <v>214</v>
      </c>
      <c r="D441" s="1" t="s">
        <v>45</v>
      </c>
      <c r="E441" s="1" t="s">
        <v>215</v>
      </c>
      <c r="F441" s="1" t="s">
        <v>216</v>
      </c>
      <c r="G441" s="1" t="s">
        <v>82</v>
      </c>
      <c r="H441" s="1" t="s">
        <v>29</v>
      </c>
      <c r="I441" s="1" t="s">
        <v>83</v>
      </c>
      <c r="J441" s="1" t="s">
        <v>40</v>
      </c>
      <c r="K441" s="1" t="s">
        <v>41</v>
      </c>
      <c r="L441" s="1"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1B82-023A-4D28-9328-62812DCE175A}">
  <dimension ref="A1"/>
  <sheetViews>
    <sheetView workbookViewId="0">
      <selection activeCell="C16" sqref="C16"/>
    </sheetView>
  </sheetViews>
  <sheetFormatPr defaultRowHeight="15.7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3307-0364-4A4B-A903-ACA101FA5F09}">
  <dimension ref="A3:C7"/>
  <sheetViews>
    <sheetView workbookViewId="0">
      <selection activeCell="F15" sqref="F15"/>
    </sheetView>
  </sheetViews>
  <sheetFormatPr defaultRowHeight="15.75" x14ac:dyDescent="0.25"/>
  <cols>
    <col min="1" max="1" width="10.5" bestFit="1" customWidth="1"/>
    <col min="2" max="2" width="19.625" bestFit="1" customWidth="1"/>
    <col min="3" max="3" width="23" bestFit="1" customWidth="1"/>
  </cols>
  <sheetData>
    <row r="3" spans="1:3" x14ac:dyDescent="0.25">
      <c r="A3" t="s">
        <v>1190</v>
      </c>
      <c r="B3" t="s">
        <v>1211</v>
      </c>
      <c r="C3" t="s">
        <v>1210</v>
      </c>
    </row>
    <row r="4" spans="1:3" x14ac:dyDescent="0.25">
      <c r="A4" s="10">
        <v>440</v>
      </c>
      <c r="B4" s="4">
        <v>0.46118181818181742</v>
      </c>
      <c r="C4" s="2">
        <v>253.81818181818181</v>
      </c>
    </row>
    <row r="7" spans="1:3" x14ac:dyDescent="0.25">
      <c r="A7" s="10">
        <v>440</v>
      </c>
      <c r="B7" s="4">
        <v>0.46118181818181742</v>
      </c>
      <c r="C7" s="2">
        <v>253.81818181818181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8B54-BDEE-46B3-96DD-68B08682B54E}">
  <dimension ref="A1:V450"/>
  <sheetViews>
    <sheetView zoomScale="83" zoomScaleNormal="100" workbookViewId="0">
      <selection activeCell="G8" sqref="G8"/>
    </sheetView>
  </sheetViews>
  <sheetFormatPr defaultRowHeight="15.75" x14ac:dyDescent="0.25"/>
  <cols>
    <col min="1" max="1" width="14.625" bestFit="1" customWidth="1"/>
    <col min="2" max="2" width="32.125" customWidth="1"/>
    <col min="3" max="3" width="42" customWidth="1"/>
    <col min="8" max="8" width="10" bestFit="1" customWidth="1"/>
    <col min="9" max="9" width="15" customWidth="1"/>
    <col min="10" max="10" width="18.75" customWidth="1"/>
    <col min="11" max="11" width="20" bestFit="1" customWidth="1"/>
    <col min="12" max="12" width="18" bestFit="1" customWidth="1"/>
    <col min="14" max="14" width="13.875" bestFit="1" customWidth="1"/>
  </cols>
  <sheetData>
    <row r="1" spans="1:22" ht="18.75" x14ac:dyDescent="0.3">
      <c r="A1" s="1" t="s">
        <v>1162</v>
      </c>
      <c r="B1" s="1" t="s">
        <v>1163</v>
      </c>
      <c r="C1" s="1" t="s">
        <v>0</v>
      </c>
      <c r="D1" s="1" t="s">
        <v>1</v>
      </c>
      <c r="E1" s="1" t="s">
        <v>2</v>
      </c>
      <c r="F1" s="1" t="s">
        <v>3</v>
      </c>
      <c r="G1" s="1" t="s">
        <v>4</v>
      </c>
      <c r="H1" s="1" t="s">
        <v>5</v>
      </c>
      <c r="I1" s="1" t="s">
        <v>6</v>
      </c>
      <c r="J1" s="1" t="s">
        <v>7</v>
      </c>
      <c r="K1" s="1" t="s">
        <v>8</v>
      </c>
      <c r="L1" s="1" t="s">
        <v>9</v>
      </c>
      <c r="M1" s="1" t="s">
        <v>1164</v>
      </c>
      <c r="N1" s="1" t="s">
        <v>1165</v>
      </c>
      <c r="O1" s="16" t="s">
        <v>1207</v>
      </c>
    </row>
    <row r="2" spans="1:22" ht="18.75" x14ac:dyDescent="0.3">
      <c r="A2" s="1" t="s">
        <v>10</v>
      </c>
      <c r="B2" s="1" t="s">
        <v>11</v>
      </c>
      <c r="C2" s="1" t="s">
        <v>12</v>
      </c>
      <c r="D2" s="3">
        <v>399</v>
      </c>
      <c r="E2" s="2">
        <v>199</v>
      </c>
      <c r="F2" s="4">
        <v>0.5</v>
      </c>
      <c r="G2">
        <v>4</v>
      </c>
      <c r="H2" s="1" t="s">
        <v>17</v>
      </c>
      <c r="I2" s="1" t="s">
        <v>1166</v>
      </c>
      <c r="J2" s="1" t="s">
        <v>1177</v>
      </c>
      <c r="K2" s="1" t="s">
        <v>20</v>
      </c>
      <c r="L2" s="1" t="s">
        <v>21</v>
      </c>
      <c r="M2" s="2">
        <f>SUM(D2,E2)</f>
        <v>598</v>
      </c>
      <c r="N2" s="5">
        <f>MAX(F2:F441)</f>
        <v>0.9</v>
      </c>
      <c r="O2" s="17" t="s">
        <v>1208</v>
      </c>
    </row>
    <row r="3" spans="1:22" ht="18.75" x14ac:dyDescent="0.3">
      <c r="A3" s="1" t="s">
        <v>22</v>
      </c>
      <c r="B3" s="1" t="s">
        <v>23</v>
      </c>
      <c r="C3" s="1" t="s">
        <v>24</v>
      </c>
      <c r="D3" s="3">
        <v>299</v>
      </c>
      <c r="E3" s="2">
        <v>171</v>
      </c>
      <c r="F3" s="4">
        <v>0.42</v>
      </c>
      <c r="G3">
        <v>1.3</v>
      </c>
      <c r="H3" s="1" t="s">
        <v>29</v>
      </c>
      <c r="I3" s="1" t="s">
        <v>1166</v>
      </c>
      <c r="J3" s="1" t="s">
        <v>1180</v>
      </c>
      <c r="K3" s="1" t="s">
        <v>31</v>
      </c>
      <c r="L3" s="1" t="s">
        <v>21</v>
      </c>
      <c r="M3" s="2">
        <f t="shared" ref="M3:M66" si="0">SUM(D3,E3)</f>
        <v>470</v>
      </c>
      <c r="N3" s="5">
        <f t="shared" ref="N3:N66" si="1">MAX(F3:F442)</f>
        <v>0.9</v>
      </c>
      <c r="O3" s="17" t="s">
        <v>1209</v>
      </c>
    </row>
    <row r="4" spans="1:22" ht="18.75" x14ac:dyDescent="0.3">
      <c r="A4" s="1" t="s">
        <v>32</v>
      </c>
      <c r="B4" s="1" t="s">
        <v>33</v>
      </c>
      <c r="C4" s="1" t="s">
        <v>34</v>
      </c>
      <c r="D4" s="3">
        <v>449</v>
      </c>
      <c r="E4" s="2">
        <v>384</v>
      </c>
      <c r="F4" s="4">
        <v>0.14000000000000001</v>
      </c>
      <c r="G4">
        <v>4.4000000000000004</v>
      </c>
      <c r="H4" s="1" t="s">
        <v>29</v>
      </c>
      <c r="I4" s="1" t="s">
        <v>1167</v>
      </c>
      <c r="J4" s="1" t="s">
        <v>1178</v>
      </c>
      <c r="K4" s="1" t="s">
        <v>41</v>
      </c>
      <c r="L4" s="1" t="s">
        <v>21</v>
      </c>
      <c r="M4" s="2">
        <f t="shared" si="0"/>
        <v>833</v>
      </c>
      <c r="N4" s="5">
        <f t="shared" si="1"/>
        <v>0.9</v>
      </c>
      <c r="O4" s="17" t="s">
        <v>1208</v>
      </c>
    </row>
    <row r="5" spans="1:22" ht="18.75" x14ac:dyDescent="0.3">
      <c r="A5" s="1" t="s">
        <v>42</v>
      </c>
      <c r="B5" s="1" t="s">
        <v>43</v>
      </c>
      <c r="C5" s="1" t="s">
        <v>44</v>
      </c>
      <c r="D5" s="3">
        <v>449</v>
      </c>
      <c r="E5" s="2">
        <v>349</v>
      </c>
      <c r="F5" s="4">
        <v>0.22</v>
      </c>
      <c r="G5">
        <v>4.3</v>
      </c>
      <c r="H5" s="1" t="s">
        <v>29</v>
      </c>
      <c r="I5" s="1" t="s">
        <v>1167</v>
      </c>
      <c r="J5" s="1" t="s">
        <v>1178</v>
      </c>
      <c r="K5" s="1" t="s">
        <v>41</v>
      </c>
      <c r="L5" s="1" t="s">
        <v>21</v>
      </c>
      <c r="M5" s="2">
        <f t="shared" si="0"/>
        <v>798</v>
      </c>
      <c r="N5" s="5">
        <f t="shared" si="1"/>
        <v>0.9</v>
      </c>
      <c r="O5" s="17" t="s">
        <v>1208</v>
      </c>
      <c r="Q5" s="1"/>
    </row>
    <row r="6" spans="1:22" ht="18.75" x14ac:dyDescent="0.3">
      <c r="A6" s="1" t="s">
        <v>48</v>
      </c>
      <c r="B6" s="1" t="s">
        <v>49</v>
      </c>
      <c r="C6" s="1" t="s">
        <v>50</v>
      </c>
      <c r="D6" s="3">
        <v>499</v>
      </c>
      <c r="E6" s="2">
        <v>150</v>
      </c>
      <c r="F6" s="4">
        <v>0.69</v>
      </c>
      <c r="G6">
        <v>4</v>
      </c>
      <c r="H6" s="1" t="s">
        <v>17</v>
      </c>
      <c r="I6" s="1" t="s">
        <v>1168</v>
      </c>
      <c r="J6" s="1" t="s">
        <v>1177</v>
      </c>
      <c r="K6" s="1" t="s">
        <v>55</v>
      </c>
      <c r="L6" s="1" t="s">
        <v>21</v>
      </c>
      <c r="M6" s="2">
        <f t="shared" si="0"/>
        <v>649</v>
      </c>
      <c r="N6" s="5">
        <f t="shared" si="1"/>
        <v>0.9</v>
      </c>
      <c r="O6" s="17" t="s">
        <v>1208</v>
      </c>
      <c r="P6" s="1"/>
    </row>
    <row r="7" spans="1:22" ht="18.75" x14ac:dyDescent="0.3">
      <c r="A7" s="1" t="s">
        <v>56</v>
      </c>
      <c r="B7" s="1" t="s">
        <v>57</v>
      </c>
      <c r="C7" s="1" t="s">
        <v>58</v>
      </c>
      <c r="D7" s="3">
        <v>499</v>
      </c>
      <c r="E7" s="2">
        <v>169</v>
      </c>
      <c r="F7" s="4">
        <v>0.66</v>
      </c>
      <c r="G7">
        <v>3</v>
      </c>
      <c r="H7" s="1" t="s">
        <v>29</v>
      </c>
      <c r="I7" s="1" t="s">
        <v>1168</v>
      </c>
      <c r="J7" s="1" t="s">
        <v>1180</v>
      </c>
      <c r="K7" s="1" t="s">
        <v>62</v>
      </c>
      <c r="L7" s="1" t="s">
        <v>21</v>
      </c>
      <c r="M7" s="2">
        <f t="shared" si="0"/>
        <v>668</v>
      </c>
      <c r="N7" s="5">
        <f t="shared" si="1"/>
        <v>0.9</v>
      </c>
      <c r="O7" s="17" t="s">
        <v>1209</v>
      </c>
      <c r="P7" t="s">
        <v>1185</v>
      </c>
      <c r="Q7" s="6">
        <f>AVERAGE(G2:G441)</f>
        <v>3.7874999999999965</v>
      </c>
    </row>
    <row r="8" spans="1:22" ht="18.75" x14ac:dyDescent="0.3">
      <c r="A8" s="1" t="s">
        <v>63</v>
      </c>
      <c r="B8" s="1" t="s">
        <v>64</v>
      </c>
      <c r="C8" s="1" t="s">
        <v>65</v>
      </c>
      <c r="D8" s="3">
        <v>1500</v>
      </c>
      <c r="E8" s="2">
        <v>250</v>
      </c>
      <c r="F8" s="4">
        <v>0.83</v>
      </c>
      <c r="G8">
        <v>4</v>
      </c>
      <c r="H8" s="1" t="s">
        <v>29</v>
      </c>
      <c r="I8" s="1" t="s">
        <v>1167</v>
      </c>
      <c r="J8" s="1" t="s">
        <v>1180</v>
      </c>
      <c r="K8" s="1" t="s">
        <v>69</v>
      </c>
      <c r="L8" s="1" t="s">
        <v>21</v>
      </c>
      <c r="M8" s="2">
        <f t="shared" si="0"/>
        <v>1750</v>
      </c>
      <c r="N8" s="5">
        <f t="shared" si="1"/>
        <v>0.9</v>
      </c>
      <c r="O8" s="17" t="s">
        <v>1209</v>
      </c>
      <c r="P8" t="s">
        <v>1186</v>
      </c>
      <c r="Q8">
        <f>MEDIAN(G2:G441)</f>
        <v>4</v>
      </c>
    </row>
    <row r="9" spans="1:22" ht="18.75" x14ac:dyDescent="0.3">
      <c r="A9" s="1" t="s">
        <v>70</v>
      </c>
      <c r="B9" s="1" t="s">
        <v>71</v>
      </c>
      <c r="C9" s="1" t="s">
        <v>72</v>
      </c>
      <c r="D9" s="3">
        <v>299</v>
      </c>
      <c r="E9" s="2">
        <v>153</v>
      </c>
      <c r="F9" s="4">
        <v>0.48</v>
      </c>
      <c r="G9">
        <v>2.5</v>
      </c>
      <c r="H9" s="1" t="s">
        <v>29</v>
      </c>
      <c r="I9" s="1" t="s">
        <v>1168</v>
      </c>
      <c r="J9" s="1" t="s">
        <v>1177</v>
      </c>
      <c r="K9" s="1" t="s">
        <v>55</v>
      </c>
      <c r="L9" s="1" t="s">
        <v>21</v>
      </c>
      <c r="M9" s="2">
        <f t="shared" si="0"/>
        <v>452</v>
      </c>
      <c r="N9" s="5">
        <f t="shared" si="1"/>
        <v>0.9</v>
      </c>
      <c r="O9" s="17" t="s">
        <v>1208</v>
      </c>
      <c r="P9" s="7" t="s">
        <v>1187</v>
      </c>
    </row>
    <row r="10" spans="1:22" ht="18.75" x14ac:dyDescent="0.3">
      <c r="A10" s="1" t="s">
        <v>76</v>
      </c>
      <c r="B10" s="1" t="s">
        <v>33</v>
      </c>
      <c r="C10" s="1" t="s">
        <v>34</v>
      </c>
      <c r="D10" s="3">
        <v>449</v>
      </c>
      <c r="E10" s="2">
        <v>384</v>
      </c>
      <c r="F10" s="4">
        <v>0.14000000000000001</v>
      </c>
      <c r="G10">
        <v>4.4000000000000004</v>
      </c>
      <c r="H10" s="1" t="s">
        <v>29</v>
      </c>
      <c r="I10" s="1" t="s">
        <v>1167</v>
      </c>
      <c r="J10" s="1" t="s">
        <v>1178</v>
      </c>
      <c r="K10" s="1" t="s">
        <v>41</v>
      </c>
      <c r="L10" s="1" t="s">
        <v>21</v>
      </c>
      <c r="M10" s="2">
        <f t="shared" si="0"/>
        <v>833</v>
      </c>
      <c r="N10" s="5">
        <f t="shared" si="1"/>
        <v>0.9</v>
      </c>
      <c r="O10" s="17" t="s">
        <v>1208</v>
      </c>
    </row>
    <row r="11" spans="1:22" ht="18.75" x14ac:dyDescent="0.3">
      <c r="A11" s="1" t="s">
        <v>77</v>
      </c>
      <c r="B11" s="1" t="s">
        <v>78</v>
      </c>
      <c r="C11" s="1" t="s">
        <v>79</v>
      </c>
      <c r="D11" s="3">
        <v>499</v>
      </c>
      <c r="E11" s="2">
        <v>335</v>
      </c>
      <c r="F11" s="4">
        <v>0.32</v>
      </c>
      <c r="G11">
        <v>4</v>
      </c>
      <c r="H11" s="1" t="s">
        <v>29</v>
      </c>
      <c r="I11" s="1" t="s">
        <v>1169</v>
      </c>
      <c r="J11" s="1" t="s">
        <v>1178</v>
      </c>
      <c r="K11" s="1" t="s">
        <v>41</v>
      </c>
      <c r="L11" s="1" t="s">
        <v>21</v>
      </c>
      <c r="M11" s="2">
        <f t="shared" si="0"/>
        <v>834</v>
      </c>
      <c r="N11" s="5">
        <f t="shared" si="1"/>
        <v>0.9</v>
      </c>
      <c r="O11" s="17" t="s">
        <v>1208</v>
      </c>
      <c r="V11" s="1"/>
    </row>
    <row r="12" spans="1:22" ht="18.75" x14ac:dyDescent="0.3">
      <c r="A12" s="1" t="s">
        <v>84</v>
      </c>
      <c r="B12" s="1" t="s">
        <v>85</v>
      </c>
      <c r="C12" s="1" t="s">
        <v>86</v>
      </c>
      <c r="D12" s="3">
        <v>399</v>
      </c>
      <c r="E12" s="2">
        <v>135</v>
      </c>
      <c r="F12" s="4">
        <v>0.66</v>
      </c>
      <c r="G12">
        <v>4</v>
      </c>
      <c r="H12" s="1" t="s">
        <v>17</v>
      </c>
      <c r="I12" s="1" t="s">
        <v>1167</v>
      </c>
      <c r="J12" s="1" t="s">
        <v>1177</v>
      </c>
      <c r="K12" s="1" t="s">
        <v>88</v>
      </c>
      <c r="L12" s="1" t="s">
        <v>21</v>
      </c>
      <c r="M12" s="2">
        <f t="shared" si="0"/>
        <v>534</v>
      </c>
      <c r="N12" s="5">
        <f t="shared" si="1"/>
        <v>0.9</v>
      </c>
      <c r="O12" s="17" t="s">
        <v>1208</v>
      </c>
    </row>
    <row r="13" spans="1:22" ht="18.75" x14ac:dyDescent="0.3">
      <c r="A13" s="1" t="s">
        <v>89</v>
      </c>
      <c r="B13" s="1" t="s">
        <v>90</v>
      </c>
      <c r="C13" s="1" t="s">
        <v>91</v>
      </c>
      <c r="D13" s="3">
        <v>1500</v>
      </c>
      <c r="E13" s="2">
        <v>160</v>
      </c>
      <c r="F13" s="4">
        <v>0.89</v>
      </c>
      <c r="G13">
        <v>4</v>
      </c>
      <c r="H13" s="1" t="s">
        <v>29</v>
      </c>
      <c r="I13" s="1" t="s">
        <v>1170</v>
      </c>
      <c r="J13" s="1" t="s">
        <v>1180</v>
      </c>
      <c r="K13" s="1" t="s">
        <v>31</v>
      </c>
      <c r="L13" s="1" t="s">
        <v>21</v>
      </c>
      <c r="M13" s="2">
        <f t="shared" si="0"/>
        <v>1660</v>
      </c>
      <c r="N13" s="5">
        <f t="shared" si="1"/>
        <v>0.9</v>
      </c>
      <c r="O13" s="17" t="s">
        <v>1208</v>
      </c>
    </row>
    <row r="14" spans="1:22" ht="18.75" x14ac:dyDescent="0.3">
      <c r="A14" s="1" t="s">
        <v>95</v>
      </c>
      <c r="B14" s="1" t="s">
        <v>78</v>
      </c>
      <c r="C14" s="1" t="s">
        <v>79</v>
      </c>
      <c r="D14" s="3">
        <v>749</v>
      </c>
      <c r="E14" s="2">
        <v>516</v>
      </c>
      <c r="F14" s="4">
        <v>0.31</v>
      </c>
      <c r="G14">
        <v>3.6</v>
      </c>
      <c r="H14" s="1" t="s">
        <v>29</v>
      </c>
      <c r="I14" s="1" t="s">
        <v>1169</v>
      </c>
      <c r="J14" s="1" t="s">
        <v>1178</v>
      </c>
      <c r="K14" s="1" t="s">
        <v>41</v>
      </c>
      <c r="L14" s="1" t="s">
        <v>21</v>
      </c>
      <c r="M14" s="2">
        <f t="shared" si="0"/>
        <v>1265</v>
      </c>
      <c r="N14" s="5">
        <f t="shared" si="1"/>
        <v>0.9</v>
      </c>
      <c r="O14" s="17" t="s">
        <v>1209</v>
      </c>
    </row>
    <row r="15" spans="1:22" ht="18.75" x14ac:dyDescent="0.3">
      <c r="A15" s="1" t="s">
        <v>100</v>
      </c>
      <c r="B15" s="1" t="s">
        <v>101</v>
      </c>
      <c r="C15" s="1" t="s">
        <v>102</v>
      </c>
      <c r="D15" s="3">
        <v>549</v>
      </c>
      <c r="E15" s="2">
        <v>388</v>
      </c>
      <c r="F15" s="4">
        <v>0.28999999999999998</v>
      </c>
      <c r="G15">
        <v>4.3</v>
      </c>
      <c r="H15" s="1" t="s">
        <v>29</v>
      </c>
      <c r="I15" s="1" t="s">
        <v>1171</v>
      </c>
      <c r="J15" s="1" t="s">
        <v>1178</v>
      </c>
      <c r="K15" s="1" t="s">
        <v>41</v>
      </c>
      <c r="L15" s="1" t="s">
        <v>21</v>
      </c>
      <c r="M15" s="2">
        <f t="shared" si="0"/>
        <v>937</v>
      </c>
      <c r="N15" s="5">
        <f t="shared" si="1"/>
        <v>0.9</v>
      </c>
      <c r="O15" s="17" t="s">
        <v>1208</v>
      </c>
    </row>
    <row r="16" spans="1:22" ht="18.75" x14ac:dyDescent="0.3">
      <c r="A16" s="1" t="s">
        <v>107</v>
      </c>
      <c r="B16" s="1" t="s">
        <v>90</v>
      </c>
      <c r="C16" s="1" t="s">
        <v>91</v>
      </c>
      <c r="D16" s="3">
        <v>1300</v>
      </c>
      <c r="E16" s="2">
        <v>145</v>
      </c>
      <c r="F16" s="4">
        <v>0.88</v>
      </c>
      <c r="G16">
        <v>4</v>
      </c>
      <c r="H16" s="1" t="s">
        <v>29</v>
      </c>
      <c r="I16" s="1" t="s">
        <v>1170</v>
      </c>
      <c r="J16" s="1" t="s">
        <v>1180</v>
      </c>
      <c r="K16" s="1" t="s">
        <v>111</v>
      </c>
      <c r="L16" s="1" t="s">
        <v>21</v>
      </c>
      <c r="M16" s="2">
        <f t="shared" si="0"/>
        <v>1445</v>
      </c>
      <c r="N16" s="5">
        <f t="shared" si="1"/>
        <v>0.9</v>
      </c>
      <c r="O16" s="17" t="s">
        <v>1209</v>
      </c>
    </row>
    <row r="17" spans="1:15" ht="18.75" x14ac:dyDescent="0.3">
      <c r="A17" s="1" t="s">
        <v>112</v>
      </c>
      <c r="B17" s="1" t="s">
        <v>113</v>
      </c>
      <c r="C17" s="1" t="s">
        <v>114</v>
      </c>
      <c r="D17" s="3">
        <v>399</v>
      </c>
      <c r="E17" s="2">
        <v>179</v>
      </c>
      <c r="F17" s="4">
        <v>0.55000000000000004</v>
      </c>
      <c r="G17">
        <v>4</v>
      </c>
      <c r="H17" s="1" t="s">
        <v>29</v>
      </c>
      <c r="I17" s="1" t="s">
        <v>1172</v>
      </c>
      <c r="J17" s="1" t="s">
        <v>1180</v>
      </c>
      <c r="K17" s="1" t="s">
        <v>118</v>
      </c>
      <c r="L17" s="1" t="s">
        <v>21</v>
      </c>
      <c r="M17" s="2">
        <f t="shared" si="0"/>
        <v>578</v>
      </c>
      <c r="N17" s="5">
        <f t="shared" si="1"/>
        <v>0.9</v>
      </c>
      <c r="O17" s="17" t="s">
        <v>1208</v>
      </c>
    </row>
    <row r="18" spans="1:15" ht="18.75" x14ac:dyDescent="0.3">
      <c r="A18" s="1" t="s">
        <v>119</v>
      </c>
      <c r="B18" s="1" t="s">
        <v>120</v>
      </c>
      <c r="C18" s="1" t="s">
        <v>121</v>
      </c>
      <c r="D18" s="3">
        <v>499</v>
      </c>
      <c r="E18" s="2">
        <v>142</v>
      </c>
      <c r="F18" s="4">
        <v>0.71</v>
      </c>
      <c r="G18">
        <v>4</v>
      </c>
      <c r="H18" s="1" t="s">
        <v>17</v>
      </c>
      <c r="I18" s="1" t="s">
        <v>1168</v>
      </c>
      <c r="J18" s="1" t="s">
        <v>1177</v>
      </c>
      <c r="K18" s="1" t="s">
        <v>55</v>
      </c>
      <c r="L18" s="1" t="s">
        <v>21</v>
      </c>
      <c r="M18" s="2">
        <f t="shared" si="0"/>
        <v>641</v>
      </c>
      <c r="N18" s="5">
        <f t="shared" si="1"/>
        <v>0.9</v>
      </c>
      <c r="O18" s="17" t="s">
        <v>1208</v>
      </c>
    </row>
    <row r="19" spans="1:15" ht="18.75" x14ac:dyDescent="0.3">
      <c r="A19" s="1" t="s">
        <v>124</v>
      </c>
      <c r="B19" s="1" t="s">
        <v>125</v>
      </c>
      <c r="C19" s="1" t="s">
        <v>126</v>
      </c>
      <c r="D19" s="3">
        <v>565</v>
      </c>
      <c r="E19" s="2">
        <v>135</v>
      </c>
      <c r="F19" s="4">
        <v>0.76</v>
      </c>
      <c r="G19">
        <v>3.4</v>
      </c>
      <c r="H19" s="1" t="s">
        <v>29</v>
      </c>
      <c r="I19" s="1" t="s">
        <v>1168</v>
      </c>
      <c r="J19" s="1" t="s">
        <v>1177</v>
      </c>
      <c r="K19" s="1" t="s">
        <v>55</v>
      </c>
      <c r="L19" s="1" t="s">
        <v>21</v>
      </c>
      <c r="M19" s="2">
        <f t="shared" si="0"/>
        <v>700</v>
      </c>
      <c r="N19" s="5">
        <f t="shared" si="1"/>
        <v>0.9</v>
      </c>
      <c r="O19" s="17" t="s">
        <v>1208</v>
      </c>
    </row>
    <row r="20" spans="1:15" ht="18.75" x14ac:dyDescent="0.3">
      <c r="A20" s="1" t="s">
        <v>130</v>
      </c>
      <c r="B20" s="1" t="s">
        <v>43</v>
      </c>
      <c r="C20" s="1" t="s">
        <v>44</v>
      </c>
      <c r="D20" s="3">
        <v>449</v>
      </c>
      <c r="E20" s="2">
        <v>349</v>
      </c>
      <c r="F20" s="4">
        <v>0.22</v>
      </c>
      <c r="G20">
        <v>4.3</v>
      </c>
      <c r="H20" s="1" t="s">
        <v>29</v>
      </c>
      <c r="I20" s="1" t="s">
        <v>1167</v>
      </c>
      <c r="J20" s="1" t="s">
        <v>1178</v>
      </c>
      <c r="K20" s="1" t="s">
        <v>41</v>
      </c>
      <c r="L20" s="1" t="s">
        <v>21</v>
      </c>
      <c r="M20" s="2">
        <f t="shared" si="0"/>
        <v>798</v>
      </c>
      <c r="N20" s="5">
        <f t="shared" si="1"/>
        <v>0.9</v>
      </c>
      <c r="O20" s="17" t="s">
        <v>1209</v>
      </c>
    </row>
    <row r="21" spans="1:15" ht="18.75" x14ac:dyDescent="0.3">
      <c r="A21" s="1" t="s">
        <v>131</v>
      </c>
      <c r="B21" s="1" t="s">
        <v>43</v>
      </c>
      <c r="C21" s="1" t="s">
        <v>44</v>
      </c>
      <c r="D21" s="3">
        <v>449</v>
      </c>
      <c r="E21" s="2">
        <v>349</v>
      </c>
      <c r="F21" s="4">
        <v>0.22</v>
      </c>
      <c r="G21">
        <v>4.3</v>
      </c>
      <c r="H21" s="1" t="s">
        <v>29</v>
      </c>
      <c r="I21" s="1" t="s">
        <v>1167</v>
      </c>
      <c r="J21" s="1" t="s">
        <v>1178</v>
      </c>
      <c r="K21" s="1" t="s">
        <v>41</v>
      </c>
      <c r="L21" s="1" t="s">
        <v>21</v>
      </c>
      <c r="M21" s="2">
        <f t="shared" si="0"/>
        <v>798</v>
      </c>
      <c r="N21" s="5">
        <f t="shared" si="1"/>
        <v>0.9</v>
      </c>
      <c r="O21" s="17" t="s">
        <v>1208</v>
      </c>
    </row>
    <row r="22" spans="1:15" ht="18.75" x14ac:dyDescent="0.3">
      <c r="A22" s="1" t="s">
        <v>132</v>
      </c>
      <c r="B22" s="1" t="s">
        <v>133</v>
      </c>
      <c r="C22" s="1" t="s">
        <v>134</v>
      </c>
      <c r="D22" s="3">
        <v>367</v>
      </c>
      <c r="E22" s="2">
        <v>264</v>
      </c>
      <c r="F22" s="4">
        <v>0.28000000000000003</v>
      </c>
      <c r="G22">
        <v>4</v>
      </c>
      <c r="H22" s="1" t="s">
        <v>17</v>
      </c>
      <c r="I22" s="1" t="s">
        <v>1168</v>
      </c>
      <c r="J22" s="1" t="s">
        <v>1177</v>
      </c>
      <c r="K22" s="1" t="s">
        <v>20</v>
      </c>
      <c r="L22" s="1" t="s">
        <v>21</v>
      </c>
      <c r="M22" s="2">
        <f t="shared" si="0"/>
        <v>631</v>
      </c>
      <c r="N22" s="5">
        <f t="shared" si="1"/>
        <v>0.9</v>
      </c>
      <c r="O22" s="17" t="s">
        <v>1208</v>
      </c>
    </row>
    <row r="23" spans="1:15" ht="18.75" x14ac:dyDescent="0.3">
      <c r="A23" s="1" t="s">
        <v>138</v>
      </c>
      <c r="B23" s="1" t="s">
        <v>139</v>
      </c>
      <c r="C23" s="1" t="s">
        <v>140</v>
      </c>
      <c r="D23" s="3">
        <v>399</v>
      </c>
      <c r="E23" s="2">
        <v>135</v>
      </c>
      <c r="F23" s="4">
        <v>0.66</v>
      </c>
      <c r="G23">
        <v>4</v>
      </c>
      <c r="H23" s="1" t="s">
        <v>17</v>
      </c>
      <c r="I23" s="1" t="s">
        <v>1173</v>
      </c>
      <c r="J23" s="1" t="s">
        <v>1177</v>
      </c>
      <c r="K23" s="1" t="s">
        <v>88</v>
      </c>
      <c r="L23" s="1" t="s">
        <v>21</v>
      </c>
      <c r="M23" s="2">
        <f t="shared" si="0"/>
        <v>534</v>
      </c>
      <c r="N23" s="5">
        <f t="shared" si="1"/>
        <v>0.9</v>
      </c>
      <c r="O23" s="17" t="s">
        <v>1209</v>
      </c>
    </row>
    <row r="24" spans="1:15" ht="18.75" x14ac:dyDescent="0.3">
      <c r="A24" s="1" t="s">
        <v>142</v>
      </c>
      <c r="B24" s="1" t="s">
        <v>78</v>
      </c>
      <c r="C24" s="1" t="s">
        <v>79</v>
      </c>
      <c r="D24" s="3">
        <v>499</v>
      </c>
      <c r="E24" s="2">
        <v>424</v>
      </c>
      <c r="F24" s="4">
        <v>0.15</v>
      </c>
      <c r="G24">
        <v>4.3</v>
      </c>
      <c r="H24" s="1" t="s">
        <v>29</v>
      </c>
      <c r="I24" s="1" t="s">
        <v>1169</v>
      </c>
      <c r="J24" s="1" t="s">
        <v>1178</v>
      </c>
      <c r="K24" s="1" t="s">
        <v>41</v>
      </c>
      <c r="L24" s="1" t="s">
        <v>21</v>
      </c>
      <c r="M24" s="2">
        <f t="shared" si="0"/>
        <v>923</v>
      </c>
      <c r="N24" s="5">
        <f t="shared" si="1"/>
        <v>0.9</v>
      </c>
      <c r="O24" s="17" t="s">
        <v>1208</v>
      </c>
    </row>
    <row r="25" spans="1:15" ht="18.75" x14ac:dyDescent="0.3">
      <c r="A25" s="1" t="s">
        <v>145</v>
      </c>
      <c r="B25" s="1" t="s">
        <v>33</v>
      </c>
      <c r="C25" s="1" t="s">
        <v>34</v>
      </c>
      <c r="D25" s="3">
        <v>449</v>
      </c>
      <c r="E25" s="2">
        <v>359</v>
      </c>
      <c r="F25" s="4">
        <v>0.2</v>
      </c>
      <c r="G25">
        <v>4.4000000000000004</v>
      </c>
      <c r="H25" s="1" t="s">
        <v>29</v>
      </c>
      <c r="I25" s="1" t="s">
        <v>1167</v>
      </c>
      <c r="J25" s="1" t="s">
        <v>1178</v>
      </c>
      <c r="K25" s="1" t="s">
        <v>41</v>
      </c>
      <c r="L25" s="1" t="s">
        <v>21</v>
      </c>
      <c r="M25" s="2">
        <f t="shared" si="0"/>
        <v>808</v>
      </c>
      <c r="N25" s="5">
        <f t="shared" si="1"/>
        <v>0.9</v>
      </c>
      <c r="O25" s="17" t="s">
        <v>1208</v>
      </c>
    </row>
    <row r="26" spans="1:15" ht="18.75" x14ac:dyDescent="0.3">
      <c r="A26" s="1" t="s">
        <v>148</v>
      </c>
      <c r="B26" s="1" t="s">
        <v>23</v>
      </c>
      <c r="C26" s="1" t="s">
        <v>24</v>
      </c>
      <c r="D26" s="3">
        <v>316</v>
      </c>
      <c r="E26" s="2">
        <v>196</v>
      </c>
      <c r="F26" s="4">
        <v>0.37</v>
      </c>
      <c r="G26">
        <v>2.8</v>
      </c>
      <c r="H26" s="1" t="s">
        <v>29</v>
      </c>
      <c r="I26" s="1" t="s">
        <v>1167</v>
      </c>
      <c r="J26" s="1" t="s">
        <v>1180</v>
      </c>
      <c r="K26" s="1" t="s">
        <v>153</v>
      </c>
      <c r="L26" s="1" t="s">
        <v>21</v>
      </c>
      <c r="M26" s="2">
        <f t="shared" si="0"/>
        <v>512</v>
      </c>
      <c r="N26" s="5">
        <f t="shared" si="1"/>
        <v>0.9</v>
      </c>
      <c r="O26" s="17" t="s">
        <v>1209</v>
      </c>
    </row>
    <row r="27" spans="1:15" ht="18.75" x14ac:dyDescent="0.3">
      <c r="A27" s="1" t="s">
        <v>154</v>
      </c>
      <c r="B27" s="1" t="s">
        <v>155</v>
      </c>
      <c r="C27" s="1" t="s">
        <v>156</v>
      </c>
      <c r="D27" s="3">
        <v>599</v>
      </c>
      <c r="E27" s="2">
        <v>134</v>
      </c>
      <c r="F27" s="4">
        <v>0.77</v>
      </c>
      <c r="G27">
        <v>3.5</v>
      </c>
      <c r="H27" s="1" t="s">
        <v>29</v>
      </c>
      <c r="I27" s="1" t="s">
        <v>1168</v>
      </c>
      <c r="J27" s="1" t="s">
        <v>1177</v>
      </c>
      <c r="K27" s="1" t="s">
        <v>55</v>
      </c>
      <c r="L27" s="1" t="s">
        <v>21</v>
      </c>
      <c r="M27" s="2">
        <f t="shared" si="0"/>
        <v>733</v>
      </c>
      <c r="N27" s="5">
        <f t="shared" si="1"/>
        <v>0.9</v>
      </c>
      <c r="O27" s="17" t="s">
        <v>1208</v>
      </c>
    </row>
    <row r="28" spans="1:15" ht="18.75" x14ac:dyDescent="0.3">
      <c r="A28" s="1" t="s">
        <v>161</v>
      </c>
      <c r="B28" s="1" t="s">
        <v>90</v>
      </c>
      <c r="C28" s="1" t="s">
        <v>91</v>
      </c>
      <c r="D28" s="3">
        <v>1300</v>
      </c>
      <c r="E28" s="2">
        <v>169</v>
      </c>
      <c r="F28" s="4">
        <v>0.87</v>
      </c>
      <c r="G28">
        <v>4</v>
      </c>
      <c r="H28" s="1" t="s">
        <v>29</v>
      </c>
      <c r="I28" s="1" t="s">
        <v>1170</v>
      </c>
      <c r="J28" s="1" t="s">
        <v>1180</v>
      </c>
      <c r="K28" s="1" t="s">
        <v>163</v>
      </c>
      <c r="L28" s="1" t="s">
        <v>21</v>
      </c>
      <c r="M28" s="2">
        <f t="shared" si="0"/>
        <v>1469</v>
      </c>
      <c r="N28" s="5">
        <f t="shared" si="1"/>
        <v>0.9</v>
      </c>
      <c r="O28" s="17" t="s">
        <v>1209</v>
      </c>
    </row>
    <row r="29" spans="1:15" ht="18.75" x14ac:dyDescent="0.3">
      <c r="A29" s="1" t="s">
        <v>164</v>
      </c>
      <c r="B29" s="1" t="s">
        <v>165</v>
      </c>
      <c r="C29" s="1" t="s">
        <v>166</v>
      </c>
      <c r="D29" s="3">
        <v>449</v>
      </c>
      <c r="E29" s="2">
        <v>233</v>
      </c>
      <c r="F29" s="4">
        <v>0.48</v>
      </c>
      <c r="G29">
        <v>4</v>
      </c>
      <c r="H29" s="1" t="s">
        <v>29</v>
      </c>
      <c r="I29" s="1" t="s">
        <v>1171</v>
      </c>
      <c r="J29" s="1" t="s">
        <v>1179</v>
      </c>
      <c r="K29" s="1" t="s">
        <v>169</v>
      </c>
      <c r="L29" s="1" t="s">
        <v>21</v>
      </c>
      <c r="M29" s="2">
        <f t="shared" si="0"/>
        <v>682</v>
      </c>
      <c r="N29" s="5">
        <f t="shared" si="1"/>
        <v>0.9</v>
      </c>
      <c r="O29" s="17" t="s">
        <v>1209</v>
      </c>
    </row>
    <row r="30" spans="1:15" ht="18.75" x14ac:dyDescent="0.3">
      <c r="A30" s="1" t="s">
        <v>170</v>
      </c>
      <c r="B30" s="1" t="s">
        <v>78</v>
      </c>
      <c r="C30" s="1" t="s">
        <v>79</v>
      </c>
      <c r="D30" s="3">
        <v>449</v>
      </c>
      <c r="E30" s="2">
        <v>335</v>
      </c>
      <c r="F30" s="4">
        <v>0.25</v>
      </c>
      <c r="G30">
        <v>4</v>
      </c>
      <c r="H30" s="1" t="s">
        <v>29</v>
      </c>
      <c r="I30" s="1" t="s">
        <v>1169</v>
      </c>
      <c r="J30" s="1" t="s">
        <v>1178</v>
      </c>
      <c r="K30" s="1" t="s">
        <v>41</v>
      </c>
      <c r="L30" s="1" t="s">
        <v>21</v>
      </c>
      <c r="M30" s="2">
        <f t="shared" si="0"/>
        <v>784</v>
      </c>
      <c r="N30" s="5">
        <f t="shared" si="1"/>
        <v>0.9</v>
      </c>
      <c r="O30" s="17" t="s">
        <v>1209</v>
      </c>
    </row>
    <row r="31" spans="1:15" ht="18.75" x14ac:dyDescent="0.3">
      <c r="A31" s="1" t="s">
        <v>172</v>
      </c>
      <c r="B31" s="1" t="s">
        <v>78</v>
      </c>
      <c r="C31" s="1" t="s">
        <v>79</v>
      </c>
      <c r="D31" s="3">
        <v>499</v>
      </c>
      <c r="E31" s="2">
        <v>426</v>
      </c>
      <c r="F31" s="4">
        <v>0.14000000000000001</v>
      </c>
      <c r="G31">
        <v>4.2</v>
      </c>
      <c r="H31" s="1" t="s">
        <v>29</v>
      </c>
      <c r="I31" s="1" t="s">
        <v>1169</v>
      </c>
      <c r="J31" s="1" t="s">
        <v>1178</v>
      </c>
      <c r="K31" s="1" t="s">
        <v>41</v>
      </c>
      <c r="L31" s="1" t="s">
        <v>21</v>
      </c>
      <c r="M31" s="2">
        <f t="shared" si="0"/>
        <v>925</v>
      </c>
      <c r="N31" s="5">
        <f t="shared" si="1"/>
        <v>0.9</v>
      </c>
      <c r="O31" s="17" t="s">
        <v>1208</v>
      </c>
    </row>
    <row r="32" spans="1:15" ht="18.75" x14ac:dyDescent="0.3">
      <c r="A32" s="1" t="s">
        <v>175</v>
      </c>
      <c r="B32" s="1" t="s">
        <v>176</v>
      </c>
      <c r="C32" s="1" t="s">
        <v>177</v>
      </c>
      <c r="D32" s="3">
        <v>495</v>
      </c>
      <c r="E32" s="2">
        <v>155</v>
      </c>
      <c r="F32" s="4">
        <v>0.68</v>
      </c>
      <c r="G32">
        <v>4</v>
      </c>
      <c r="H32" s="1" t="s">
        <v>29</v>
      </c>
      <c r="I32" s="1" t="s">
        <v>1172</v>
      </c>
      <c r="J32" s="1" t="s">
        <v>1180</v>
      </c>
      <c r="K32" s="1" t="s">
        <v>182</v>
      </c>
      <c r="L32" s="1" t="s">
        <v>21</v>
      </c>
      <c r="M32" s="2">
        <f t="shared" si="0"/>
        <v>650</v>
      </c>
      <c r="N32" s="5">
        <f t="shared" si="1"/>
        <v>0.9</v>
      </c>
      <c r="O32" s="17" t="s">
        <v>1208</v>
      </c>
    </row>
    <row r="33" spans="1:15" ht="18.75" x14ac:dyDescent="0.3">
      <c r="A33" s="1" t="s">
        <v>183</v>
      </c>
      <c r="B33" s="1" t="s">
        <v>64</v>
      </c>
      <c r="C33" s="1" t="s">
        <v>65</v>
      </c>
      <c r="D33" s="3">
        <v>1500</v>
      </c>
      <c r="E33" s="2">
        <v>250</v>
      </c>
      <c r="F33" s="4">
        <v>0.83</v>
      </c>
      <c r="G33">
        <v>4</v>
      </c>
      <c r="H33" s="1" t="s">
        <v>29</v>
      </c>
      <c r="I33" s="1" t="s">
        <v>1167</v>
      </c>
      <c r="J33" s="1" t="s">
        <v>1180</v>
      </c>
      <c r="K33" s="1" t="s">
        <v>69</v>
      </c>
      <c r="L33" s="1" t="s">
        <v>21</v>
      </c>
      <c r="M33" s="2">
        <f t="shared" si="0"/>
        <v>1750</v>
      </c>
      <c r="N33" s="5">
        <f t="shared" si="1"/>
        <v>0.9</v>
      </c>
      <c r="O33" s="17" t="s">
        <v>1208</v>
      </c>
    </row>
    <row r="34" spans="1:15" ht="18.75" x14ac:dyDescent="0.3">
      <c r="A34" s="1" t="s">
        <v>184</v>
      </c>
      <c r="B34" s="1" t="s">
        <v>78</v>
      </c>
      <c r="C34" s="1" t="s">
        <v>79</v>
      </c>
      <c r="D34" s="3">
        <v>499</v>
      </c>
      <c r="E34" s="2">
        <v>335</v>
      </c>
      <c r="F34" s="4">
        <v>0.32</v>
      </c>
      <c r="G34">
        <v>4</v>
      </c>
      <c r="H34" s="1" t="s">
        <v>29</v>
      </c>
      <c r="I34" s="1" t="s">
        <v>1169</v>
      </c>
      <c r="J34" s="1" t="s">
        <v>1178</v>
      </c>
      <c r="K34" s="1" t="s">
        <v>41</v>
      </c>
      <c r="L34" s="1" t="s">
        <v>21</v>
      </c>
      <c r="M34" s="2">
        <f t="shared" si="0"/>
        <v>834</v>
      </c>
      <c r="N34" s="5">
        <f t="shared" si="1"/>
        <v>0.9</v>
      </c>
      <c r="O34" s="17" t="s">
        <v>1208</v>
      </c>
    </row>
    <row r="35" spans="1:15" ht="18.75" x14ac:dyDescent="0.3">
      <c r="A35" s="1" t="s">
        <v>185</v>
      </c>
      <c r="B35" s="1" t="s">
        <v>33</v>
      </c>
      <c r="C35" s="1" t="s">
        <v>34</v>
      </c>
      <c r="D35" s="3">
        <v>445</v>
      </c>
      <c r="E35" s="2">
        <v>335</v>
      </c>
      <c r="F35" s="4">
        <v>0.24</v>
      </c>
      <c r="G35">
        <v>4.4000000000000004</v>
      </c>
      <c r="H35" s="1" t="s">
        <v>29</v>
      </c>
      <c r="I35" s="1" t="s">
        <v>1167</v>
      </c>
      <c r="J35" s="1" t="s">
        <v>1178</v>
      </c>
      <c r="K35" s="1" t="s">
        <v>41</v>
      </c>
      <c r="L35" s="1" t="s">
        <v>21</v>
      </c>
      <c r="M35" s="2">
        <f t="shared" si="0"/>
        <v>780</v>
      </c>
      <c r="N35" s="5">
        <f t="shared" si="1"/>
        <v>0.9</v>
      </c>
      <c r="O35" s="17" t="s">
        <v>1208</v>
      </c>
    </row>
    <row r="36" spans="1:15" ht="18.75" x14ac:dyDescent="0.3">
      <c r="A36" s="1" t="s">
        <v>188</v>
      </c>
      <c r="B36" s="1" t="s">
        <v>90</v>
      </c>
      <c r="C36" s="1" t="s">
        <v>91</v>
      </c>
      <c r="D36" s="3">
        <v>1300</v>
      </c>
      <c r="E36" s="2">
        <v>137</v>
      </c>
      <c r="F36" s="4">
        <v>0.89</v>
      </c>
      <c r="G36">
        <v>2.4</v>
      </c>
      <c r="H36" s="1" t="s">
        <v>29</v>
      </c>
      <c r="I36" s="1" t="s">
        <v>1170</v>
      </c>
      <c r="J36" s="1" t="s">
        <v>1180</v>
      </c>
      <c r="K36" s="1" t="s">
        <v>191</v>
      </c>
      <c r="L36" s="1" t="s">
        <v>21</v>
      </c>
      <c r="M36" s="2">
        <f t="shared" si="0"/>
        <v>1437</v>
      </c>
      <c r="N36" s="5">
        <f t="shared" si="1"/>
        <v>0.9</v>
      </c>
      <c r="O36" s="17" t="s">
        <v>1209</v>
      </c>
    </row>
    <row r="37" spans="1:15" ht="18.75" x14ac:dyDescent="0.3">
      <c r="A37" s="1" t="s">
        <v>192</v>
      </c>
      <c r="B37" s="1" t="s">
        <v>193</v>
      </c>
      <c r="C37" s="1" t="s">
        <v>194</v>
      </c>
      <c r="D37" s="3">
        <v>399</v>
      </c>
      <c r="E37" s="2">
        <v>135</v>
      </c>
      <c r="F37" s="4">
        <v>0.66</v>
      </c>
      <c r="G37">
        <v>4</v>
      </c>
      <c r="H37" s="1" t="s">
        <v>17</v>
      </c>
      <c r="I37" s="1" t="s">
        <v>1168</v>
      </c>
      <c r="J37" s="1" t="s">
        <v>1177</v>
      </c>
      <c r="K37" s="1" t="s">
        <v>195</v>
      </c>
      <c r="L37" s="1" t="s">
        <v>21</v>
      </c>
      <c r="M37" s="2">
        <f t="shared" si="0"/>
        <v>534</v>
      </c>
      <c r="N37" s="5">
        <f t="shared" si="1"/>
        <v>0.9</v>
      </c>
      <c r="O37" s="17" t="s">
        <v>1209</v>
      </c>
    </row>
    <row r="38" spans="1:15" ht="18.75" x14ac:dyDescent="0.3">
      <c r="A38" s="1" t="s">
        <v>196</v>
      </c>
      <c r="B38" s="1" t="s">
        <v>197</v>
      </c>
      <c r="C38" s="1" t="s">
        <v>198</v>
      </c>
      <c r="D38" s="3">
        <v>399</v>
      </c>
      <c r="E38" s="2">
        <v>200</v>
      </c>
      <c r="F38" s="4">
        <v>0.49</v>
      </c>
      <c r="G38">
        <v>4</v>
      </c>
      <c r="H38" s="1" t="s">
        <v>29</v>
      </c>
      <c r="I38" s="1" t="s">
        <v>1168</v>
      </c>
      <c r="J38" s="1" t="s">
        <v>1180</v>
      </c>
      <c r="K38" s="1" t="s">
        <v>201</v>
      </c>
      <c r="L38" s="1" t="s">
        <v>21</v>
      </c>
      <c r="M38" s="2">
        <f t="shared" si="0"/>
        <v>599</v>
      </c>
      <c r="N38" s="5">
        <f t="shared" si="1"/>
        <v>0.9</v>
      </c>
      <c r="O38" s="17" t="s">
        <v>1209</v>
      </c>
    </row>
    <row r="39" spans="1:15" ht="18.75" x14ac:dyDescent="0.3">
      <c r="A39" s="1" t="s">
        <v>202</v>
      </c>
      <c r="B39" s="1" t="s">
        <v>203</v>
      </c>
      <c r="C39" s="1" t="s">
        <v>204</v>
      </c>
      <c r="D39" s="3">
        <v>369</v>
      </c>
      <c r="E39" s="2">
        <v>215</v>
      </c>
      <c r="F39" s="4">
        <v>0.41</v>
      </c>
      <c r="G39">
        <v>4</v>
      </c>
      <c r="H39" s="1" t="s">
        <v>29</v>
      </c>
      <c r="I39" s="1" t="s">
        <v>1169</v>
      </c>
      <c r="J39" s="1" t="s">
        <v>1178</v>
      </c>
      <c r="K39" s="1" t="s">
        <v>208</v>
      </c>
      <c r="L39" s="1" t="s">
        <v>21</v>
      </c>
      <c r="M39" s="2">
        <f t="shared" si="0"/>
        <v>584</v>
      </c>
      <c r="N39" s="5">
        <f t="shared" si="1"/>
        <v>0.9</v>
      </c>
      <c r="O39" s="17" t="s">
        <v>1209</v>
      </c>
    </row>
    <row r="40" spans="1:15" ht="18.75" x14ac:dyDescent="0.3">
      <c r="A40" s="1" t="s">
        <v>209</v>
      </c>
      <c r="B40" s="1" t="s">
        <v>78</v>
      </c>
      <c r="C40" s="1" t="s">
        <v>79</v>
      </c>
      <c r="D40" s="3">
        <v>495</v>
      </c>
      <c r="E40" s="2">
        <v>331</v>
      </c>
      <c r="F40" s="4">
        <v>0.33</v>
      </c>
      <c r="G40">
        <v>4.0999999999999996</v>
      </c>
      <c r="H40" s="1" t="s">
        <v>29</v>
      </c>
      <c r="I40" s="1" t="s">
        <v>1169</v>
      </c>
      <c r="J40" s="1" t="s">
        <v>1178</v>
      </c>
      <c r="K40" s="1" t="s">
        <v>41</v>
      </c>
      <c r="L40" s="1" t="s">
        <v>21</v>
      </c>
      <c r="M40" s="2">
        <f t="shared" si="0"/>
        <v>826</v>
      </c>
      <c r="N40" s="5">
        <f t="shared" si="1"/>
        <v>0.9</v>
      </c>
      <c r="O40" s="17" t="s">
        <v>1208</v>
      </c>
    </row>
    <row r="41" spans="1:15" ht="18.75" x14ac:dyDescent="0.3">
      <c r="A41" s="1" t="s">
        <v>213</v>
      </c>
      <c r="B41" s="1" t="s">
        <v>78</v>
      </c>
      <c r="C41" s="1" t="s">
        <v>214</v>
      </c>
      <c r="D41" s="3">
        <v>349</v>
      </c>
      <c r="E41" s="2">
        <v>325</v>
      </c>
      <c r="F41" s="4">
        <v>0.06</v>
      </c>
      <c r="G41">
        <v>4</v>
      </c>
      <c r="H41" s="1" t="s">
        <v>29</v>
      </c>
      <c r="I41" s="1" t="s">
        <v>1169</v>
      </c>
      <c r="J41" s="1" t="s">
        <v>1178</v>
      </c>
      <c r="K41" s="1" t="s">
        <v>41</v>
      </c>
      <c r="L41" s="1" t="s">
        <v>21</v>
      </c>
      <c r="M41" s="2">
        <f t="shared" si="0"/>
        <v>674</v>
      </c>
      <c r="N41" s="5">
        <f t="shared" si="1"/>
        <v>0.9</v>
      </c>
      <c r="O41" s="17" t="s">
        <v>1209</v>
      </c>
    </row>
    <row r="42" spans="1:15" ht="18.75" x14ac:dyDescent="0.3">
      <c r="A42" s="1" t="s">
        <v>217</v>
      </c>
      <c r="B42" s="1" t="s">
        <v>218</v>
      </c>
      <c r="C42" s="1" t="s">
        <v>219</v>
      </c>
      <c r="D42" s="3">
        <v>499</v>
      </c>
      <c r="E42" s="2">
        <v>145</v>
      </c>
      <c r="F42" s="4">
        <v>0.7</v>
      </c>
      <c r="G42">
        <v>4</v>
      </c>
      <c r="H42" s="1" t="s">
        <v>17</v>
      </c>
      <c r="I42" s="1" t="s">
        <v>1173</v>
      </c>
      <c r="J42" s="1" t="s">
        <v>1177</v>
      </c>
      <c r="K42" s="1" t="s">
        <v>55</v>
      </c>
      <c r="L42" s="1" t="s">
        <v>21</v>
      </c>
      <c r="M42" s="2">
        <f t="shared" si="0"/>
        <v>644</v>
      </c>
      <c r="N42" s="5">
        <f t="shared" si="1"/>
        <v>0.9</v>
      </c>
      <c r="O42" s="17" t="s">
        <v>1209</v>
      </c>
    </row>
    <row r="43" spans="1:15" ht="18.75" x14ac:dyDescent="0.3">
      <c r="A43" s="1" t="s">
        <v>221</v>
      </c>
      <c r="B43" s="1" t="s">
        <v>222</v>
      </c>
      <c r="C43" s="1" t="s">
        <v>223</v>
      </c>
      <c r="D43" s="3">
        <v>1999</v>
      </c>
      <c r="E43" s="2">
        <v>1011</v>
      </c>
      <c r="F43" s="4">
        <v>0.49</v>
      </c>
      <c r="G43">
        <v>4.2</v>
      </c>
      <c r="H43" s="1" t="s">
        <v>29</v>
      </c>
      <c r="I43" s="1" t="s">
        <v>1170</v>
      </c>
      <c r="J43" s="1" t="s">
        <v>1178</v>
      </c>
      <c r="K43" s="1" t="s">
        <v>41</v>
      </c>
      <c r="L43" s="1" t="s">
        <v>21</v>
      </c>
      <c r="M43" s="2">
        <f t="shared" si="0"/>
        <v>3010</v>
      </c>
      <c r="N43" s="5">
        <f t="shared" si="1"/>
        <v>0.9</v>
      </c>
      <c r="O43" s="17" t="s">
        <v>1208</v>
      </c>
    </row>
    <row r="44" spans="1:15" ht="18.75" x14ac:dyDescent="0.3">
      <c r="A44" s="1" t="s">
        <v>226</v>
      </c>
      <c r="B44" s="1" t="s">
        <v>33</v>
      </c>
      <c r="C44" s="1" t="s">
        <v>34</v>
      </c>
      <c r="D44" s="3">
        <v>449</v>
      </c>
      <c r="E44" s="2">
        <v>384</v>
      </c>
      <c r="F44" s="4">
        <v>0.14000000000000001</v>
      </c>
      <c r="G44">
        <v>4.4000000000000004</v>
      </c>
      <c r="H44" s="1" t="s">
        <v>29</v>
      </c>
      <c r="I44" s="1" t="s">
        <v>1167</v>
      </c>
      <c r="J44" s="1" t="s">
        <v>1178</v>
      </c>
      <c r="K44" s="1" t="s">
        <v>41</v>
      </c>
      <c r="L44" s="1" t="s">
        <v>21</v>
      </c>
      <c r="M44" s="2">
        <f t="shared" si="0"/>
        <v>833</v>
      </c>
      <c r="N44" s="5">
        <f t="shared" si="1"/>
        <v>0.9</v>
      </c>
      <c r="O44" s="17" t="s">
        <v>1209</v>
      </c>
    </row>
    <row r="45" spans="1:15" ht="18.75" x14ac:dyDescent="0.3">
      <c r="A45" s="1" t="s">
        <v>227</v>
      </c>
      <c r="B45" s="1" t="s">
        <v>43</v>
      </c>
      <c r="C45" s="1" t="s">
        <v>44</v>
      </c>
      <c r="D45" s="3">
        <v>449</v>
      </c>
      <c r="E45" s="2">
        <v>349</v>
      </c>
      <c r="F45" s="4">
        <v>0.22</v>
      </c>
      <c r="G45">
        <v>4.3</v>
      </c>
      <c r="H45" s="1" t="s">
        <v>29</v>
      </c>
      <c r="I45" s="1" t="s">
        <v>1167</v>
      </c>
      <c r="J45" s="1" t="s">
        <v>1178</v>
      </c>
      <c r="K45" s="1" t="s">
        <v>41</v>
      </c>
      <c r="L45" s="1" t="s">
        <v>21</v>
      </c>
      <c r="M45" s="2">
        <f t="shared" si="0"/>
        <v>798</v>
      </c>
      <c r="N45" s="5">
        <f t="shared" si="1"/>
        <v>0.9</v>
      </c>
      <c r="O45" s="17" t="s">
        <v>1209</v>
      </c>
    </row>
    <row r="46" spans="1:15" ht="18.75" x14ac:dyDescent="0.3">
      <c r="A46" s="1" t="s">
        <v>228</v>
      </c>
      <c r="B46" s="1" t="s">
        <v>229</v>
      </c>
      <c r="C46" s="1" t="s">
        <v>230</v>
      </c>
      <c r="D46" s="3">
        <v>351</v>
      </c>
      <c r="E46" s="2">
        <v>198</v>
      </c>
      <c r="F46" s="4">
        <v>0.43</v>
      </c>
      <c r="G46">
        <v>4</v>
      </c>
      <c r="H46" s="1" t="s">
        <v>29</v>
      </c>
      <c r="I46" s="1" t="s">
        <v>1166</v>
      </c>
      <c r="J46" s="1" t="s">
        <v>1178</v>
      </c>
      <c r="K46" s="1" t="s">
        <v>20</v>
      </c>
      <c r="L46" s="1" t="s">
        <v>21</v>
      </c>
      <c r="M46" s="2">
        <f t="shared" si="0"/>
        <v>549</v>
      </c>
      <c r="N46" s="5">
        <f t="shared" si="1"/>
        <v>0.9</v>
      </c>
      <c r="O46" s="17" t="s">
        <v>1209</v>
      </c>
    </row>
    <row r="47" spans="1:15" ht="18.75" x14ac:dyDescent="0.3">
      <c r="A47" s="1" t="s">
        <v>234</v>
      </c>
      <c r="B47" s="1" t="s">
        <v>235</v>
      </c>
      <c r="C47" s="1" t="s">
        <v>236</v>
      </c>
      <c r="D47" s="3">
        <v>499</v>
      </c>
      <c r="E47" s="2">
        <v>149</v>
      </c>
      <c r="F47" s="4">
        <v>0.7</v>
      </c>
      <c r="G47">
        <v>2.2000000000000002</v>
      </c>
      <c r="H47" s="1" t="s">
        <v>29</v>
      </c>
      <c r="I47" s="1" t="s">
        <v>1166</v>
      </c>
      <c r="J47" s="1" t="s">
        <v>1178</v>
      </c>
      <c r="K47" s="1" t="s">
        <v>239</v>
      </c>
      <c r="L47" s="1" t="s">
        <v>21</v>
      </c>
      <c r="M47" s="2">
        <f t="shared" si="0"/>
        <v>648</v>
      </c>
      <c r="N47" s="5">
        <f t="shared" si="1"/>
        <v>0.9</v>
      </c>
      <c r="O47" s="17" t="s">
        <v>1209</v>
      </c>
    </row>
    <row r="48" spans="1:15" ht="18.75" x14ac:dyDescent="0.3">
      <c r="A48" s="1" t="s">
        <v>240</v>
      </c>
      <c r="B48" s="1" t="s">
        <v>241</v>
      </c>
      <c r="C48" s="1" t="s">
        <v>242</v>
      </c>
      <c r="D48" s="3">
        <v>799</v>
      </c>
      <c r="E48" s="2">
        <v>454</v>
      </c>
      <c r="F48" s="4">
        <v>0.43</v>
      </c>
      <c r="G48">
        <v>4.2</v>
      </c>
      <c r="H48" s="1" t="s">
        <v>17</v>
      </c>
      <c r="I48" s="1" t="s">
        <v>1172</v>
      </c>
      <c r="J48" s="1" t="s">
        <v>1178</v>
      </c>
      <c r="K48" s="1" t="s">
        <v>41</v>
      </c>
      <c r="L48" s="1" t="s">
        <v>21</v>
      </c>
      <c r="M48" s="2">
        <f t="shared" si="0"/>
        <v>1253</v>
      </c>
      <c r="N48" s="5">
        <f t="shared" si="1"/>
        <v>0.9</v>
      </c>
      <c r="O48" s="17" t="s">
        <v>1209</v>
      </c>
    </row>
    <row r="49" spans="1:15" ht="18.75" x14ac:dyDescent="0.3">
      <c r="A49" s="1" t="s">
        <v>245</v>
      </c>
      <c r="B49" s="1" t="s">
        <v>23</v>
      </c>
      <c r="C49" s="1" t="s">
        <v>24</v>
      </c>
      <c r="D49" s="3">
        <v>299</v>
      </c>
      <c r="E49" s="2">
        <v>188</v>
      </c>
      <c r="F49" s="4">
        <v>0.37</v>
      </c>
      <c r="G49">
        <v>1.7</v>
      </c>
      <c r="H49" s="1" t="s">
        <v>29</v>
      </c>
      <c r="I49" s="1" t="s">
        <v>1166</v>
      </c>
      <c r="J49" s="1" t="s">
        <v>1180</v>
      </c>
      <c r="K49" s="1" t="s">
        <v>248</v>
      </c>
      <c r="L49" s="1" t="s">
        <v>21</v>
      </c>
      <c r="M49" s="2">
        <f t="shared" si="0"/>
        <v>487</v>
      </c>
      <c r="N49" s="5">
        <f t="shared" si="1"/>
        <v>0.9</v>
      </c>
      <c r="O49" s="17" t="s">
        <v>1209</v>
      </c>
    </row>
    <row r="50" spans="1:15" ht="18.75" x14ac:dyDescent="0.3">
      <c r="A50" s="1" t="s">
        <v>249</v>
      </c>
      <c r="B50" s="1" t="s">
        <v>33</v>
      </c>
      <c r="C50" s="1" t="s">
        <v>34</v>
      </c>
      <c r="D50" s="3">
        <v>449</v>
      </c>
      <c r="E50" s="2">
        <v>384</v>
      </c>
      <c r="F50" s="4">
        <v>0.14000000000000001</v>
      </c>
      <c r="G50">
        <v>4.4000000000000004</v>
      </c>
      <c r="H50" s="1" t="s">
        <v>29</v>
      </c>
      <c r="I50" s="1" t="s">
        <v>1167</v>
      </c>
      <c r="J50" s="1" t="s">
        <v>1178</v>
      </c>
      <c r="K50" s="1" t="s">
        <v>41</v>
      </c>
      <c r="L50" s="1" t="s">
        <v>21</v>
      </c>
      <c r="M50" s="2">
        <f t="shared" si="0"/>
        <v>833</v>
      </c>
      <c r="N50" s="5">
        <f t="shared" si="1"/>
        <v>0.9</v>
      </c>
      <c r="O50" s="17" t="s">
        <v>1208</v>
      </c>
    </row>
    <row r="51" spans="1:15" ht="18.75" x14ac:dyDescent="0.3">
      <c r="A51" s="1" t="s">
        <v>250</v>
      </c>
      <c r="B51" s="1" t="s">
        <v>78</v>
      </c>
      <c r="C51" s="1" t="s">
        <v>79</v>
      </c>
      <c r="D51" s="3">
        <v>499</v>
      </c>
      <c r="E51" s="2">
        <v>335</v>
      </c>
      <c r="F51" s="4">
        <v>0.32</v>
      </c>
      <c r="G51">
        <v>4</v>
      </c>
      <c r="H51" s="1" t="s">
        <v>29</v>
      </c>
      <c r="I51" s="1" t="s">
        <v>1169</v>
      </c>
      <c r="J51" s="1" t="s">
        <v>1178</v>
      </c>
      <c r="K51" s="1" t="s">
        <v>41</v>
      </c>
      <c r="L51" s="1" t="s">
        <v>21</v>
      </c>
      <c r="M51" s="2">
        <f t="shared" si="0"/>
        <v>834</v>
      </c>
      <c r="N51" s="5">
        <f t="shared" si="1"/>
        <v>0.9</v>
      </c>
      <c r="O51" s="17" t="s">
        <v>1209</v>
      </c>
    </row>
    <row r="52" spans="1:15" ht="18.75" x14ac:dyDescent="0.3">
      <c r="A52" s="1" t="s">
        <v>251</v>
      </c>
      <c r="B52" s="1" t="s">
        <v>252</v>
      </c>
      <c r="C52" s="1" t="s">
        <v>253</v>
      </c>
      <c r="D52" s="3">
        <v>1482</v>
      </c>
      <c r="E52" s="2">
        <v>149</v>
      </c>
      <c r="F52" s="4">
        <v>0.89</v>
      </c>
      <c r="G52">
        <v>4</v>
      </c>
      <c r="H52" s="1" t="s">
        <v>29</v>
      </c>
      <c r="I52" s="1" t="s">
        <v>1170</v>
      </c>
      <c r="J52" s="1" t="s">
        <v>1180</v>
      </c>
      <c r="K52" s="1" t="s">
        <v>31</v>
      </c>
      <c r="L52" s="1" t="s">
        <v>21</v>
      </c>
      <c r="M52" s="2">
        <f t="shared" si="0"/>
        <v>1631</v>
      </c>
      <c r="N52" s="5">
        <f t="shared" si="1"/>
        <v>0.9</v>
      </c>
      <c r="O52" s="17" t="s">
        <v>1209</v>
      </c>
    </row>
    <row r="53" spans="1:15" ht="18.75" x14ac:dyDescent="0.3">
      <c r="A53" s="1" t="s">
        <v>255</v>
      </c>
      <c r="B53" s="1" t="s">
        <v>120</v>
      </c>
      <c r="C53" s="1" t="s">
        <v>121</v>
      </c>
      <c r="D53" s="3">
        <v>499</v>
      </c>
      <c r="E53" s="2">
        <v>132</v>
      </c>
      <c r="F53" s="4">
        <v>0.73</v>
      </c>
      <c r="G53">
        <v>4</v>
      </c>
      <c r="H53" s="1" t="s">
        <v>17</v>
      </c>
      <c r="I53" s="1" t="s">
        <v>1168</v>
      </c>
      <c r="J53" s="1" t="s">
        <v>1180</v>
      </c>
      <c r="K53" s="1" t="s">
        <v>258</v>
      </c>
      <c r="L53" s="1" t="s">
        <v>21</v>
      </c>
      <c r="M53" s="2">
        <f t="shared" si="0"/>
        <v>631</v>
      </c>
      <c r="N53" s="5">
        <f t="shared" si="1"/>
        <v>0.9</v>
      </c>
      <c r="O53" s="17" t="s">
        <v>1208</v>
      </c>
    </row>
    <row r="54" spans="1:15" ht="18.75" x14ac:dyDescent="0.3">
      <c r="A54" s="1" t="s">
        <v>259</v>
      </c>
      <c r="B54" s="1" t="s">
        <v>78</v>
      </c>
      <c r="C54" s="1" t="s">
        <v>79</v>
      </c>
      <c r="D54" s="3">
        <v>749</v>
      </c>
      <c r="E54" s="2">
        <v>516</v>
      </c>
      <c r="F54" s="4">
        <v>0.31</v>
      </c>
      <c r="G54">
        <v>3.6</v>
      </c>
      <c r="H54" s="1" t="s">
        <v>29</v>
      </c>
      <c r="I54" s="1" t="s">
        <v>1169</v>
      </c>
      <c r="J54" s="1" t="s">
        <v>1178</v>
      </c>
      <c r="K54" s="1" t="s">
        <v>41</v>
      </c>
      <c r="L54" s="1" t="s">
        <v>21</v>
      </c>
      <c r="M54" s="2">
        <f t="shared" si="0"/>
        <v>1265</v>
      </c>
      <c r="N54" s="5">
        <f t="shared" si="1"/>
        <v>0.9</v>
      </c>
      <c r="O54" s="17" t="s">
        <v>1209</v>
      </c>
    </row>
    <row r="55" spans="1:15" ht="18.75" x14ac:dyDescent="0.3">
      <c r="A55" s="1" t="s">
        <v>260</v>
      </c>
      <c r="B55" s="1" t="s">
        <v>101</v>
      </c>
      <c r="C55" s="1" t="s">
        <v>102</v>
      </c>
      <c r="D55" s="3">
        <v>549</v>
      </c>
      <c r="E55" s="2">
        <v>388</v>
      </c>
      <c r="F55" s="4">
        <v>0.28999999999999998</v>
      </c>
      <c r="G55">
        <v>4.3</v>
      </c>
      <c r="H55" s="1" t="s">
        <v>29</v>
      </c>
      <c r="I55" s="1" t="s">
        <v>1171</v>
      </c>
      <c r="J55" s="1" t="s">
        <v>1178</v>
      </c>
      <c r="K55" s="1" t="s">
        <v>41</v>
      </c>
      <c r="L55" s="1" t="s">
        <v>21</v>
      </c>
      <c r="M55" s="2">
        <f t="shared" si="0"/>
        <v>937</v>
      </c>
      <c r="N55" s="5">
        <f t="shared" si="1"/>
        <v>0.9</v>
      </c>
      <c r="O55" s="17" t="s">
        <v>1209</v>
      </c>
    </row>
    <row r="56" spans="1:15" ht="18.75" x14ac:dyDescent="0.3">
      <c r="A56" s="1" t="s">
        <v>261</v>
      </c>
      <c r="B56" s="1" t="s">
        <v>11</v>
      </c>
      <c r="C56" s="1" t="s">
        <v>12</v>
      </c>
      <c r="D56" s="3">
        <v>398</v>
      </c>
      <c r="E56" s="2">
        <v>216</v>
      </c>
      <c r="F56" s="4">
        <v>0.45</v>
      </c>
      <c r="G56">
        <v>4</v>
      </c>
      <c r="H56" s="1" t="s">
        <v>17</v>
      </c>
      <c r="I56" s="1" t="s">
        <v>1168</v>
      </c>
      <c r="J56" s="1" t="s">
        <v>1179</v>
      </c>
      <c r="K56" s="1" t="s">
        <v>20</v>
      </c>
      <c r="L56" s="1" t="s">
        <v>21</v>
      </c>
      <c r="M56" s="2">
        <f t="shared" si="0"/>
        <v>614</v>
      </c>
      <c r="N56" s="5">
        <f t="shared" si="1"/>
        <v>0.9</v>
      </c>
      <c r="O56" s="17" t="s">
        <v>1209</v>
      </c>
    </row>
    <row r="57" spans="1:15" ht="18.75" x14ac:dyDescent="0.3">
      <c r="A57" s="1" t="s">
        <v>265</v>
      </c>
      <c r="B57" s="1" t="s">
        <v>266</v>
      </c>
      <c r="C57" s="1" t="s">
        <v>267</v>
      </c>
      <c r="D57" s="3">
        <v>499</v>
      </c>
      <c r="E57" s="2">
        <v>144</v>
      </c>
      <c r="F57" s="4">
        <v>0.71</v>
      </c>
      <c r="G57">
        <v>2.6</v>
      </c>
      <c r="H57" s="1" t="s">
        <v>17</v>
      </c>
      <c r="I57" s="1" t="s">
        <v>1168</v>
      </c>
      <c r="J57" s="1" t="s">
        <v>1177</v>
      </c>
      <c r="K57" s="1" t="s">
        <v>88</v>
      </c>
      <c r="L57" s="1" t="s">
        <v>21</v>
      </c>
      <c r="M57" s="2">
        <f t="shared" si="0"/>
        <v>643</v>
      </c>
      <c r="N57" s="5">
        <f t="shared" si="1"/>
        <v>0.9</v>
      </c>
      <c r="O57" s="17" t="s">
        <v>1208</v>
      </c>
    </row>
    <row r="58" spans="1:15" ht="18.75" x14ac:dyDescent="0.3">
      <c r="A58" s="1" t="s">
        <v>270</v>
      </c>
      <c r="B58" s="1" t="s">
        <v>271</v>
      </c>
      <c r="C58" s="1" t="s">
        <v>272</v>
      </c>
      <c r="D58" s="3">
        <v>299</v>
      </c>
      <c r="E58" s="2">
        <v>145</v>
      </c>
      <c r="F58" s="4">
        <v>0.51</v>
      </c>
      <c r="G58">
        <v>1.7</v>
      </c>
      <c r="H58" s="1" t="s">
        <v>29</v>
      </c>
      <c r="I58" s="1" t="s">
        <v>1166</v>
      </c>
      <c r="J58" s="1" t="s">
        <v>1179</v>
      </c>
      <c r="K58" s="1" t="s">
        <v>55</v>
      </c>
      <c r="L58" s="1" t="s">
        <v>21</v>
      </c>
      <c r="M58" s="2">
        <f t="shared" si="0"/>
        <v>444</v>
      </c>
      <c r="N58" s="5">
        <f t="shared" si="1"/>
        <v>0.9</v>
      </c>
      <c r="O58" s="17" t="s">
        <v>1209</v>
      </c>
    </row>
    <row r="59" spans="1:15" ht="18.75" x14ac:dyDescent="0.3">
      <c r="A59" s="1" t="s">
        <v>274</v>
      </c>
      <c r="B59" s="1" t="s">
        <v>275</v>
      </c>
      <c r="C59" s="1" t="s">
        <v>276</v>
      </c>
      <c r="D59" s="3">
        <v>399</v>
      </c>
      <c r="E59" s="2">
        <v>165</v>
      </c>
      <c r="F59" s="4">
        <v>0.57999999999999996</v>
      </c>
      <c r="G59">
        <v>4</v>
      </c>
      <c r="H59" s="1" t="s">
        <v>17</v>
      </c>
      <c r="I59" s="1" t="s">
        <v>1172</v>
      </c>
      <c r="J59" s="1" t="s">
        <v>1179</v>
      </c>
      <c r="K59" s="1" t="s">
        <v>279</v>
      </c>
      <c r="L59" s="1" t="s">
        <v>21</v>
      </c>
      <c r="M59" s="2">
        <f t="shared" si="0"/>
        <v>564</v>
      </c>
      <c r="N59" s="5">
        <f t="shared" si="1"/>
        <v>0.9</v>
      </c>
      <c r="O59" s="17" t="s">
        <v>1208</v>
      </c>
    </row>
    <row r="60" spans="1:15" ht="18.75" x14ac:dyDescent="0.3">
      <c r="A60" s="1" t="s">
        <v>280</v>
      </c>
      <c r="B60" s="1" t="s">
        <v>43</v>
      </c>
      <c r="C60" s="1" t="s">
        <v>44</v>
      </c>
      <c r="D60" s="3">
        <v>449</v>
      </c>
      <c r="E60" s="2">
        <v>349</v>
      </c>
      <c r="F60" s="4">
        <v>0.22</v>
      </c>
      <c r="G60">
        <v>4.3</v>
      </c>
      <c r="H60" s="1" t="s">
        <v>29</v>
      </c>
      <c r="I60" s="1" t="s">
        <v>1167</v>
      </c>
      <c r="J60" s="1" t="s">
        <v>1178</v>
      </c>
      <c r="K60" s="1" t="s">
        <v>41</v>
      </c>
      <c r="L60" s="1" t="s">
        <v>21</v>
      </c>
      <c r="M60" s="2">
        <f t="shared" si="0"/>
        <v>798</v>
      </c>
      <c r="N60" s="5">
        <f t="shared" si="1"/>
        <v>0.9</v>
      </c>
      <c r="O60" s="17" t="s">
        <v>1208</v>
      </c>
    </row>
    <row r="61" spans="1:15" ht="18.75" x14ac:dyDescent="0.3">
      <c r="A61" s="1" t="s">
        <v>281</v>
      </c>
      <c r="B61" s="1" t="s">
        <v>43</v>
      </c>
      <c r="C61" s="1" t="s">
        <v>44</v>
      </c>
      <c r="D61" s="3">
        <v>449</v>
      </c>
      <c r="E61" s="2">
        <v>349</v>
      </c>
      <c r="F61" s="4">
        <v>0.22</v>
      </c>
      <c r="G61">
        <v>4.3</v>
      </c>
      <c r="H61" s="1" t="s">
        <v>29</v>
      </c>
      <c r="I61" s="1" t="s">
        <v>1167</v>
      </c>
      <c r="J61" s="1" t="s">
        <v>1178</v>
      </c>
      <c r="K61" s="1" t="s">
        <v>41</v>
      </c>
      <c r="L61" s="1" t="s">
        <v>21</v>
      </c>
      <c r="M61" s="2">
        <f t="shared" si="0"/>
        <v>798</v>
      </c>
      <c r="N61" s="5">
        <f t="shared" si="1"/>
        <v>0.9</v>
      </c>
      <c r="O61" s="17" t="s">
        <v>1209</v>
      </c>
    </row>
    <row r="62" spans="1:15" ht="18.75" x14ac:dyDescent="0.3">
      <c r="A62" s="1" t="s">
        <v>282</v>
      </c>
      <c r="B62" s="1" t="s">
        <v>283</v>
      </c>
      <c r="C62" s="1" t="s">
        <v>284</v>
      </c>
      <c r="D62" s="3">
        <v>367</v>
      </c>
      <c r="E62" s="2">
        <v>189</v>
      </c>
      <c r="F62" s="4">
        <v>0.48</v>
      </c>
      <c r="G62">
        <v>4</v>
      </c>
      <c r="H62" s="1" t="s">
        <v>17</v>
      </c>
      <c r="I62" s="1" t="s">
        <v>1168</v>
      </c>
      <c r="J62" s="1" t="s">
        <v>1180</v>
      </c>
      <c r="K62" s="1" t="s">
        <v>20</v>
      </c>
      <c r="L62" s="1" t="s">
        <v>21</v>
      </c>
      <c r="M62" s="2">
        <f t="shared" si="0"/>
        <v>556</v>
      </c>
      <c r="N62" s="5">
        <f t="shared" si="1"/>
        <v>0.9</v>
      </c>
      <c r="O62" s="17" t="s">
        <v>1209</v>
      </c>
    </row>
    <row r="63" spans="1:15" ht="18.75" x14ac:dyDescent="0.3">
      <c r="A63" s="1" t="s">
        <v>286</v>
      </c>
      <c r="B63" s="1" t="s">
        <v>90</v>
      </c>
      <c r="C63" s="1" t="s">
        <v>91</v>
      </c>
      <c r="D63" s="3">
        <v>1250</v>
      </c>
      <c r="E63" s="2">
        <v>149</v>
      </c>
      <c r="F63" s="4">
        <v>0.88</v>
      </c>
      <c r="G63">
        <v>4</v>
      </c>
      <c r="H63" s="1" t="s">
        <v>29</v>
      </c>
      <c r="I63" s="1" t="s">
        <v>1170</v>
      </c>
      <c r="J63" s="1" t="s">
        <v>1180</v>
      </c>
      <c r="K63" s="1" t="s">
        <v>288</v>
      </c>
      <c r="L63" s="1" t="s">
        <v>21</v>
      </c>
      <c r="M63" s="2">
        <f t="shared" si="0"/>
        <v>1399</v>
      </c>
      <c r="N63" s="5">
        <f t="shared" si="1"/>
        <v>0.9</v>
      </c>
      <c r="O63" s="17" t="s">
        <v>1209</v>
      </c>
    </row>
    <row r="64" spans="1:15" ht="18.75" x14ac:dyDescent="0.3">
      <c r="A64" s="1" t="s">
        <v>289</v>
      </c>
      <c r="B64" s="1" t="s">
        <v>78</v>
      </c>
      <c r="C64" s="1" t="s">
        <v>79</v>
      </c>
      <c r="D64" s="3">
        <v>499</v>
      </c>
      <c r="E64" s="2">
        <v>424</v>
      </c>
      <c r="F64" s="4">
        <v>0.15</v>
      </c>
      <c r="G64">
        <v>4.3</v>
      </c>
      <c r="H64" s="1" t="s">
        <v>29</v>
      </c>
      <c r="I64" s="1" t="s">
        <v>1169</v>
      </c>
      <c r="J64" s="1" t="s">
        <v>1178</v>
      </c>
      <c r="K64" s="1" t="s">
        <v>41</v>
      </c>
      <c r="L64" s="1" t="s">
        <v>21</v>
      </c>
      <c r="M64" s="2">
        <f t="shared" si="0"/>
        <v>923</v>
      </c>
      <c r="N64" s="5">
        <f t="shared" si="1"/>
        <v>0.9</v>
      </c>
      <c r="O64" s="17" t="s">
        <v>1209</v>
      </c>
    </row>
    <row r="65" spans="1:15" ht="18.75" x14ac:dyDescent="0.3">
      <c r="A65" s="1" t="s">
        <v>290</v>
      </c>
      <c r="B65" s="1" t="s">
        <v>33</v>
      </c>
      <c r="C65" s="1" t="s">
        <v>34</v>
      </c>
      <c r="D65" s="3">
        <v>449</v>
      </c>
      <c r="E65" s="2">
        <v>359</v>
      </c>
      <c r="F65" s="4">
        <v>0.2</v>
      </c>
      <c r="G65">
        <v>4.4000000000000004</v>
      </c>
      <c r="H65" s="1" t="s">
        <v>29</v>
      </c>
      <c r="I65" s="1" t="s">
        <v>1167</v>
      </c>
      <c r="J65" s="1" t="s">
        <v>1178</v>
      </c>
      <c r="K65" s="1" t="s">
        <v>41</v>
      </c>
      <c r="L65" s="1" t="s">
        <v>21</v>
      </c>
      <c r="M65" s="2">
        <f t="shared" si="0"/>
        <v>808</v>
      </c>
      <c r="N65" s="5">
        <f t="shared" si="1"/>
        <v>0.9</v>
      </c>
      <c r="O65" s="17" t="s">
        <v>1209</v>
      </c>
    </row>
    <row r="66" spans="1:15" ht="18.75" x14ac:dyDescent="0.3">
      <c r="A66" s="1" t="s">
        <v>291</v>
      </c>
      <c r="B66" s="1" t="s">
        <v>275</v>
      </c>
      <c r="C66" s="1" t="s">
        <v>276</v>
      </c>
      <c r="D66" s="3">
        <v>299</v>
      </c>
      <c r="E66" s="2">
        <v>149</v>
      </c>
      <c r="F66" s="4">
        <v>0.5</v>
      </c>
      <c r="G66">
        <v>4</v>
      </c>
      <c r="H66" s="1" t="s">
        <v>17</v>
      </c>
      <c r="I66" s="1" t="s">
        <v>1172</v>
      </c>
      <c r="J66" s="1" t="s">
        <v>1179</v>
      </c>
      <c r="K66" s="1" t="s">
        <v>292</v>
      </c>
      <c r="L66" s="1" t="s">
        <v>21</v>
      </c>
      <c r="M66" s="2">
        <f t="shared" si="0"/>
        <v>448</v>
      </c>
      <c r="N66" s="5">
        <f t="shared" si="1"/>
        <v>0.9</v>
      </c>
      <c r="O66" s="17" t="s">
        <v>1208</v>
      </c>
    </row>
    <row r="67" spans="1:15" ht="18.75" x14ac:dyDescent="0.3">
      <c r="A67" s="1" t="s">
        <v>293</v>
      </c>
      <c r="B67" s="1" t="s">
        <v>294</v>
      </c>
      <c r="C67" s="1" t="s">
        <v>295</v>
      </c>
      <c r="D67" s="3">
        <v>370</v>
      </c>
      <c r="E67" s="2">
        <v>188</v>
      </c>
      <c r="F67" s="4">
        <v>0.49</v>
      </c>
      <c r="G67">
        <v>3</v>
      </c>
      <c r="H67" s="1" t="s">
        <v>29</v>
      </c>
      <c r="I67" s="1" t="s">
        <v>1171</v>
      </c>
      <c r="J67" s="1" t="s">
        <v>1178</v>
      </c>
      <c r="K67" s="1" t="s">
        <v>297</v>
      </c>
      <c r="L67" s="1" t="s">
        <v>21</v>
      </c>
      <c r="M67" s="2">
        <f t="shared" ref="M67:M130" si="2">SUM(D67,E67)</f>
        <v>558</v>
      </c>
      <c r="N67" s="5">
        <f t="shared" ref="N67:N130" si="3">MAX(F67:F506)</f>
        <v>0.9</v>
      </c>
      <c r="O67" s="17" t="s">
        <v>1208</v>
      </c>
    </row>
    <row r="68" spans="1:15" ht="18.75" x14ac:dyDescent="0.3">
      <c r="A68" s="1" t="s">
        <v>298</v>
      </c>
      <c r="B68" s="1" t="s">
        <v>120</v>
      </c>
      <c r="C68" s="1" t="s">
        <v>121</v>
      </c>
      <c r="D68" s="3">
        <v>399</v>
      </c>
      <c r="E68" s="2">
        <v>135</v>
      </c>
      <c r="F68" s="4">
        <v>0.66</v>
      </c>
      <c r="G68">
        <v>4</v>
      </c>
      <c r="H68" s="1" t="s">
        <v>17</v>
      </c>
      <c r="I68" s="1" t="s">
        <v>1168</v>
      </c>
      <c r="J68" s="1" t="s">
        <v>1180</v>
      </c>
      <c r="K68" s="1" t="s">
        <v>88</v>
      </c>
      <c r="L68" s="1" t="s">
        <v>21</v>
      </c>
      <c r="M68" s="2">
        <f t="shared" si="2"/>
        <v>534</v>
      </c>
      <c r="N68" s="5">
        <f t="shared" si="3"/>
        <v>0.9</v>
      </c>
      <c r="O68" s="17" t="s">
        <v>1209</v>
      </c>
    </row>
    <row r="69" spans="1:15" ht="18.75" x14ac:dyDescent="0.3">
      <c r="A69" s="1" t="s">
        <v>299</v>
      </c>
      <c r="B69" s="1" t="s">
        <v>300</v>
      </c>
      <c r="C69" s="1" t="s">
        <v>301</v>
      </c>
      <c r="D69" s="3">
        <v>199</v>
      </c>
      <c r="E69" s="2">
        <v>149</v>
      </c>
      <c r="F69" s="4">
        <v>0.25</v>
      </c>
      <c r="G69">
        <v>2.2000000000000002</v>
      </c>
      <c r="H69" s="1" t="s">
        <v>29</v>
      </c>
      <c r="I69" s="1" t="s">
        <v>1166</v>
      </c>
      <c r="J69" s="1" t="s">
        <v>1177</v>
      </c>
      <c r="K69" s="1" t="s">
        <v>182</v>
      </c>
      <c r="L69" s="1" t="s">
        <v>21</v>
      </c>
      <c r="M69" s="2">
        <f t="shared" si="2"/>
        <v>348</v>
      </c>
      <c r="N69" s="5">
        <f t="shared" si="3"/>
        <v>0.9</v>
      </c>
      <c r="O69" s="17" t="s">
        <v>1209</v>
      </c>
    </row>
    <row r="70" spans="1:15" ht="18.75" x14ac:dyDescent="0.3">
      <c r="A70" s="1" t="s">
        <v>302</v>
      </c>
      <c r="B70" s="1" t="s">
        <v>78</v>
      </c>
      <c r="C70" s="1" t="s">
        <v>79</v>
      </c>
      <c r="D70" s="3">
        <v>449</v>
      </c>
      <c r="E70" s="2">
        <v>335</v>
      </c>
      <c r="F70" s="4">
        <v>0.25</v>
      </c>
      <c r="G70">
        <v>4</v>
      </c>
      <c r="H70" s="1" t="s">
        <v>29</v>
      </c>
      <c r="I70" s="1" t="s">
        <v>1169</v>
      </c>
      <c r="J70" s="1" t="s">
        <v>1178</v>
      </c>
      <c r="K70" s="1" t="s">
        <v>41</v>
      </c>
      <c r="L70" s="1" t="s">
        <v>21</v>
      </c>
      <c r="M70" s="2">
        <f t="shared" si="2"/>
        <v>784</v>
      </c>
      <c r="N70" s="5">
        <f t="shared" si="3"/>
        <v>0.9</v>
      </c>
      <c r="O70" s="17" t="s">
        <v>1208</v>
      </c>
    </row>
    <row r="71" spans="1:15" ht="18.75" x14ac:dyDescent="0.3">
      <c r="A71" s="1" t="s">
        <v>303</v>
      </c>
      <c r="B71" s="1" t="s">
        <v>78</v>
      </c>
      <c r="C71" s="1" t="s">
        <v>79</v>
      </c>
      <c r="D71" s="3">
        <v>499</v>
      </c>
      <c r="E71" s="2">
        <v>426</v>
      </c>
      <c r="F71" s="4">
        <v>0.14000000000000001</v>
      </c>
      <c r="G71">
        <v>4.2</v>
      </c>
      <c r="H71" s="1" t="s">
        <v>29</v>
      </c>
      <c r="I71" s="1" t="s">
        <v>1169</v>
      </c>
      <c r="J71" s="1" t="s">
        <v>1178</v>
      </c>
      <c r="K71" s="1" t="s">
        <v>41</v>
      </c>
      <c r="L71" s="1" t="s">
        <v>21</v>
      </c>
      <c r="M71" s="2">
        <f t="shared" si="2"/>
        <v>925</v>
      </c>
      <c r="N71" s="5">
        <f t="shared" si="3"/>
        <v>0.9</v>
      </c>
      <c r="O71" s="17" t="s">
        <v>1208</v>
      </c>
    </row>
    <row r="72" spans="1:15" ht="18.75" x14ac:dyDescent="0.3">
      <c r="A72" s="1" t="s">
        <v>304</v>
      </c>
      <c r="B72" s="1" t="s">
        <v>305</v>
      </c>
      <c r="C72" s="1" t="s">
        <v>306</v>
      </c>
      <c r="D72" s="3">
        <v>499</v>
      </c>
      <c r="E72" s="2">
        <v>200</v>
      </c>
      <c r="F72" s="4">
        <v>0.59</v>
      </c>
      <c r="G72">
        <v>4</v>
      </c>
      <c r="H72" s="1" t="s">
        <v>29</v>
      </c>
      <c r="I72" s="1" t="s">
        <v>1172</v>
      </c>
      <c r="J72" s="1" t="s">
        <v>1179</v>
      </c>
      <c r="K72" s="1" t="s">
        <v>308</v>
      </c>
      <c r="L72" s="1" t="s">
        <v>21</v>
      </c>
      <c r="M72" s="2">
        <f t="shared" si="2"/>
        <v>699</v>
      </c>
      <c r="N72" s="5">
        <f t="shared" si="3"/>
        <v>0.9</v>
      </c>
      <c r="O72" s="17" t="s">
        <v>1209</v>
      </c>
    </row>
    <row r="73" spans="1:15" ht="18.75" x14ac:dyDescent="0.3">
      <c r="A73" s="1" t="s">
        <v>309</v>
      </c>
      <c r="B73" s="1" t="s">
        <v>310</v>
      </c>
      <c r="C73" s="1" t="s">
        <v>311</v>
      </c>
      <c r="D73" s="3">
        <v>399</v>
      </c>
      <c r="E73" s="2">
        <v>277</v>
      </c>
      <c r="F73" s="4">
        <v>0.3</v>
      </c>
      <c r="G73">
        <v>4</v>
      </c>
      <c r="H73" s="1" t="s">
        <v>17</v>
      </c>
      <c r="I73" s="1" t="s">
        <v>1172</v>
      </c>
      <c r="J73" s="1" t="s">
        <v>1179</v>
      </c>
      <c r="K73" s="1" t="s">
        <v>314</v>
      </c>
      <c r="L73" s="1" t="s">
        <v>21</v>
      </c>
      <c r="M73" s="2">
        <f t="shared" si="2"/>
        <v>676</v>
      </c>
      <c r="N73" s="5">
        <f t="shared" si="3"/>
        <v>0.9</v>
      </c>
      <c r="O73" s="17" t="s">
        <v>1208</v>
      </c>
    </row>
    <row r="74" spans="1:15" ht="18.75" x14ac:dyDescent="0.3">
      <c r="A74" s="1" t="s">
        <v>315</v>
      </c>
      <c r="B74" s="1" t="s">
        <v>78</v>
      </c>
      <c r="C74" s="1" t="s">
        <v>79</v>
      </c>
      <c r="D74" s="3">
        <v>499</v>
      </c>
      <c r="E74" s="2">
        <v>335</v>
      </c>
      <c r="F74" s="4">
        <v>0.32</v>
      </c>
      <c r="G74">
        <v>4</v>
      </c>
      <c r="H74" s="1" t="s">
        <v>29</v>
      </c>
      <c r="I74" s="1" t="s">
        <v>1169</v>
      </c>
      <c r="J74" s="1" t="s">
        <v>1178</v>
      </c>
      <c r="K74" s="1" t="s">
        <v>41</v>
      </c>
      <c r="L74" s="1" t="s">
        <v>21</v>
      </c>
      <c r="M74" s="2">
        <f t="shared" si="2"/>
        <v>834</v>
      </c>
      <c r="N74" s="5">
        <f t="shared" si="3"/>
        <v>0.9</v>
      </c>
      <c r="O74" s="17" t="s">
        <v>1209</v>
      </c>
    </row>
    <row r="75" spans="1:15" ht="18.75" x14ac:dyDescent="0.3">
      <c r="A75" s="1" t="s">
        <v>316</v>
      </c>
      <c r="B75" s="1" t="s">
        <v>33</v>
      </c>
      <c r="C75" s="1" t="s">
        <v>34</v>
      </c>
      <c r="D75" s="3">
        <v>445</v>
      </c>
      <c r="E75" s="2">
        <v>335</v>
      </c>
      <c r="F75" s="4">
        <v>0.24</v>
      </c>
      <c r="G75">
        <v>4.4000000000000004</v>
      </c>
      <c r="H75" s="1" t="s">
        <v>29</v>
      </c>
      <c r="I75" s="1" t="s">
        <v>1167</v>
      </c>
      <c r="J75" s="1" t="s">
        <v>1178</v>
      </c>
      <c r="K75" s="1" t="s">
        <v>41</v>
      </c>
      <c r="L75" s="1" t="s">
        <v>21</v>
      </c>
      <c r="M75" s="2">
        <f t="shared" si="2"/>
        <v>780</v>
      </c>
      <c r="N75" s="5">
        <f t="shared" si="3"/>
        <v>0.9</v>
      </c>
      <c r="O75" s="17" t="s">
        <v>1208</v>
      </c>
    </row>
    <row r="76" spans="1:15" ht="18.75" x14ac:dyDescent="0.3">
      <c r="A76" s="1" t="s">
        <v>317</v>
      </c>
      <c r="B76" s="1" t="s">
        <v>90</v>
      </c>
      <c r="C76" s="1" t="s">
        <v>91</v>
      </c>
      <c r="D76" s="3">
        <v>1493</v>
      </c>
      <c r="E76" s="2">
        <v>169</v>
      </c>
      <c r="F76" s="4">
        <v>0.88</v>
      </c>
      <c r="G76">
        <v>4</v>
      </c>
      <c r="H76" s="1" t="s">
        <v>29</v>
      </c>
      <c r="I76" s="1" t="s">
        <v>1170</v>
      </c>
      <c r="J76" s="1" t="s">
        <v>1180</v>
      </c>
      <c r="K76" s="1" t="s">
        <v>31</v>
      </c>
      <c r="L76" s="1" t="s">
        <v>21</v>
      </c>
      <c r="M76" s="2">
        <f t="shared" si="2"/>
        <v>1662</v>
      </c>
      <c r="N76" s="5">
        <f t="shared" si="3"/>
        <v>0.9</v>
      </c>
      <c r="O76" s="17" t="s">
        <v>1208</v>
      </c>
    </row>
    <row r="77" spans="1:15" ht="18.75" x14ac:dyDescent="0.3">
      <c r="A77" s="1" t="s">
        <v>319</v>
      </c>
      <c r="B77" s="1" t="s">
        <v>320</v>
      </c>
      <c r="C77" s="1" t="s">
        <v>321</v>
      </c>
      <c r="D77" s="3">
        <v>399</v>
      </c>
      <c r="E77" s="2">
        <v>207</v>
      </c>
      <c r="F77" s="4">
        <v>0.48</v>
      </c>
      <c r="G77">
        <v>4</v>
      </c>
      <c r="H77" s="1" t="s">
        <v>29</v>
      </c>
      <c r="I77" s="1" t="s">
        <v>1171</v>
      </c>
      <c r="J77" s="1" t="s">
        <v>1180</v>
      </c>
      <c r="K77" s="1" t="s">
        <v>169</v>
      </c>
      <c r="L77" s="1" t="s">
        <v>21</v>
      </c>
      <c r="M77" s="2">
        <f t="shared" si="2"/>
        <v>606</v>
      </c>
      <c r="N77" s="5">
        <f t="shared" si="3"/>
        <v>0.9</v>
      </c>
      <c r="O77" s="17" t="s">
        <v>1208</v>
      </c>
    </row>
    <row r="78" spans="1:15" ht="18.75" x14ac:dyDescent="0.3">
      <c r="A78" s="1" t="s">
        <v>323</v>
      </c>
      <c r="B78" s="1" t="s">
        <v>324</v>
      </c>
      <c r="C78" s="1" t="s">
        <v>325</v>
      </c>
      <c r="D78" s="3">
        <v>300</v>
      </c>
      <c r="E78" s="2">
        <v>149</v>
      </c>
      <c r="F78" s="4">
        <v>0.5</v>
      </c>
      <c r="G78">
        <v>1.8</v>
      </c>
      <c r="H78" s="1" t="s">
        <v>17</v>
      </c>
      <c r="I78" s="1" t="s">
        <v>1172</v>
      </c>
      <c r="J78" s="1" t="s">
        <v>1180</v>
      </c>
      <c r="K78" s="1" t="s">
        <v>328</v>
      </c>
      <c r="L78" s="1" t="s">
        <v>21</v>
      </c>
      <c r="M78" s="2">
        <f t="shared" si="2"/>
        <v>449</v>
      </c>
      <c r="N78" s="5">
        <f t="shared" si="3"/>
        <v>0.9</v>
      </c>
      <c r="O78" s="17" t="s">
        <v>1209</v>
      </c>
    </row>
    <row r="79" spans="1:15" ht="18.75" x14ac:dyDescent="0.3">
      <c r="A79" s="1" t="s">
        <v>329</v>
      </c>
      <c r="B79" s="1" t="s">
        <v>310</v>
      </c>
      <c r="C79" s="1" t="s">
        <v>330</v>
      </c>
      <c r="D79" s="3">
        <v>299</v>
      </c>
      <c r="E79" s="2">
        <v>224</v>
      </c>
      <c r="F79" s="4">
        <v>0.25</v>
      </c>
      <c r="G79">
        <v>4</v>
      </c>
      <c r="H79" s="1" t="s">
        <v>17</v>
      </c>
      <c r="I79" s="1" t="s">
        <v>1171</v>
      </c>
      <c r="J79" s="1" t="s">
        <v>1179</v>
      </c>
      <c r="K79" s="1" t="s">
        <v>314</v>
      </c>
      <c r="L79" s="1" t="s">
        <v>21</v>
      </c>
      <c r="M79" s="2">
        <f t="shared" si="2"/>
        <v>523</v>
      </c>
      <c r="N79" s="5">
        <f t="shared" si="3"/>
        <v>0.9</v>
      </c>
      <c r="O79" s="17" t="s">
        <v>1208</v>
      </c>
    </row>
    <row r="80" spans="1:15" ht="18.75" x14ac:dyDescent="0.3">
      <c r="A80" s="1" t="s">
        <v>332</v>
      </c>
      <c r="B80" s="1" t="s">
        <v>78</v>
      </c>
      <c r="C80" s="1" t="s">
        <v>79</v>
      </c>
      <c r="D80" s="3">
        <v>495</v>
      </c>
      <c r="E80" s="2">
        <v>331</v>
      </c>
      <c r="F80" s="4">
        <v>0.33</v>
      </c>
      <c r="G80">
        <v>4.0999999999999996</v>
      </c>
      <c r="H80" s="1" t="s">
        <v>29</v>
      </c>
      <c r="I80" s="1" t="s">
        <v>1169</v>
      </c>
      <c r="J80" s="1" t="s">
        <v>1178</v>
      </c>
      <c r="K80" s="1" t="s">
        <v>41</v>
      </c>
      <c r="L80" s="1" t="s">
        <v>21</v>
      </c>
      <c r="M80" s="2">
        <f t="shared" si="2"/>
        <v>826</v>
      </c>
      <c r="N80" s="5">
        <f t="shared" si="3"/>
        <v>0.9</v>
      </c>
      <c r="O80" s="17" t="s">
        <v>1209</v>
      </c>
    </row>
    <row r="81" spans="1:15" ht="18.75" x14ac:dyDescent="0.3">
      <c r="A81" s="1" t="s">
        <v>333</v>
      </c>
      <c r="B81" s="1" t="s">
        <v>78</v>
      </c>
      <c r="C81" s="1" t="s">
        <v>214</v>
      </c>
      <c r="D81" s="3">
        <v>349</v>
      </c>
      <c r="E81" s="2">
        <v>325</v>
      </c>
      <c r="F81" s="4">
        <v>0.06</v>
      </c>
      <c r="G81">
        <v>4</v>
      </c>
      <c r="H81" s="1" t="s">
        <v>29</v>
      </c>
      <c r="I81" s="1" t="s">
        <v>1169</v>
      </c>
      <c r="J81" s="1" t="s">
        <v>1178</v>
      </c>
      <c r="K81" s="1" t="s">
        <v>41</v>
      </c>
      <c r="L81" s="1" t="s">
        <v>21</v>
      </c>
      <c r="M81" s="2">
        <f t="shared" si="2"/>
        <v>674</v>
      </c>
      <c r="N81" s="5">
        <f t="shared" si="3"/>
        <v>0.9</v>
      </c>
      <c r="O81" s="17" t="s">
        <v>1208</v>
      </c>
    </row>
    <row r="82" spans="1:15" ht="18.75" x14ac:dyDescent="0.3">
      <c r="A82" s="1" t="s">
        <v>334</v>
      </c>
      <c r="B82" s="1" t="s">
        <v>335</v>
      </c>
      <c r="C82" s="1" t="s">
        <v>336</v>
      </c>
      <c r="D82" s="3">
        <v>399</v>
      </c>
      <c r="E82" s="2">
        <v>135</v>
      </c>
      <c r="F82" s="4">
        <v>0.66</v>
      </c>
      <c r="G82">
        <v>3.1</v>
      </c>
      <c r="H82" s="1" t="s">
        <v>16</v>
      </c>
      <c r="I82" s="1" t="s">
        <v>1173</v>
      </c>
      <c r="J82" s="1" t="s">
        <v>1177</v>
      </c>
      <c r="K82" s="1" t="s">
        <v>338</v>
      </c>
      <c r="L82" s="1" t="s">
        <v>21</v>
      </c>
      <c r="M82" s="2">
        <f t="shared" si="2"/>
        <v>534</v>
      </c>
      <c r="N82" s="5">
        <f t="shared" si="3"/>
        <v>0.9</v>
      </c>
      <c r="O82" s="17" t="s">
        <v>1209</v>
      </c>
    </row>
    <row r="83" spans="1:15" ht="18.75" x14ac:dyDescent="0.3">
      <c r="A83" s="1" t="s">
        <v>339</v>
      </c>
      <c r="B83" s="1" t="s">
        <v>340</v>
      </c>
      <c r="C83" s="1" t="s">
        <v>341</v>
      </c>
      <c r="D83" s="3">
        <v>899</v>
      </c>
      <c r="E83" s="2">
        <v>146</v>
      </c>
      <c r="F83" s="4">
        <v>0.83</v>
      </c>
      <c r="G83">
        <v>2.2999999999999998</v>
      </c>
      <c r="H83" s="1" t="s">
        <v>17</v>
      </c>
      <c r="I83" s="1" t="s">
        <v>1173</v>
      </c>
      <c r="J83" s="1" t="s">
        <v>1177</v>
      </c>
      <c r="K83" s="1" t="s">
        <v>345</v>
      </c>
      <c r="L83" s="1" t="s">
        <v>21</v>
      </c>
      <c r="M83" s="2">
        <f t="shared" si="2"/>
        <v>1045</v>
      </c>
      <c r="N83" s="5">
        <f t="shared" si="3"/>
        <v>0.9</v>
      </c>
      <c r="O83" s="17" t="s">
        <v>1208</v>
      </c>
    </row>
    <row r="84" spans="1:15" ht="18.75" x14ac:dyDescent="0.3">
      <c r="A84" s="1" t="s">
        <v>346</v>
      </c>
      <c r="B84" s="1" t="s">
        <v>33</v>
      </c>
      <c r="C84" s="1" t="s">
        <v>34</v>
      </c>
      <c r="D84" s="3">
        <v>449</v>
      </c>
      <c r="E84" s="2">
        <v>384</v>
      </c>
      <c r="F84" s="4">
        <v>0.14000000000000001</v>
      </c>
      <c r="G84">
        <v>4.4000000000000004</v>
      </c>
      <c r="H84" s="1" t="s">
        <v>29</v>
      </c>
      <c r="I84" s="1" t="s">
        <v>1167</v>
      </c>
      <c r="J84" s="1" t="s">
        <v>1178</v>
      </c>
      <c r="K84" s="1" t="s">
        <v>41</v>
      </c>
      <c r="L84" s="1" t="s">
        <v>21</v>
      </c>
      <c r="M84" s="2">
        <f t="shared" si="2"/>
        <v>833</v>
      </c>
      <c r="N84" s="5">
        <f t="shared" si="3"/>
        <v>0.9</v>
      </c>
      <c r="O84" s="17" t="s">
        <v>1209</v>
      </c>
    </row>
    <row r="85" spans="1:15" ht="18.75" x14ac:dyDescent="0.3">
      <c r="A85" s="1" t="s">
        <v>347</v>
      </c>
      <c r="B85" s="1" t="s">
        <v>43</v>
      </c>
      <c r="C85" s="1" t="s">
        <v>44</v>
      </c>
      <c r="D85" s="3">
        <v>449</v>
      </c>
      <c r="E85" s="2">
        <v>349</v>
      </c>
      <c r="F85" s="4">
        <v>0.22</v>
      </c>
      <c r="G85">
        <v>4.3</v>
      </c>
      <c r="H85" s="1" t="s">
        <v>29</v>
      </c>
      <c r="I85" s="1" t="s">
        <v>1167</v>
      </c>
      <c r="J85" s="1" t="s">
        <v>1178</v>
      </c>
      <c r="K85" s="1" t="s">
        <v>41</v>
      </c>
      <c r="L85" s="1" t="s">
        <v>21</v>
      </c>
      <c r="M85" s="2">
        <f t="shared" si="2"/>
        <v>798</v>
      </c>
      <c r="N85" s="5">
        <f t="shared" si="3"/>
        <v>0.9</v>
      </c>
      <c r="O85" s="17" t="s">
        <v>1208</v>
      </c>
    </row>
    <row r="86" spans="1:15" ht="18.75" x14ac:dyDescent="0.3">
      <c r="A86" s="1" t="s">
        <v>348</v>
      </c>
      <c r="B86" s="1" t="s">
        <v>349</v>
      </c>
      <c r="C86" s="1" t="s">
        <v>350</v>
      </c>
      <c r="D86" s="3">
        <v>1033</v>
      </c>
      <c r="E86" s="2">
        <v>140</v>
      </c>
      <c r="F86" s="4">
        <v>0.86</v>
      </c>
      <c r="G86">
        <v>4.0999999999999996</v>
      </c>
      <c r="H86" s="1" t="s">
        <v>29</v>
      </c>
      <c r="I86" s="1" t="s">
        <v>1174</v>
      </c>
      <c r="J86" s="1" t="s">
        <v>1180</v>
      </c>
      <c r="K86" s="1" t="s">
        <v>55</v>
      </c>
      <c r="L86" s="1" t="s">
        <v>21</v>
      </c>
      <c r="M86" s="2">
        <f t="shared" si="2"/>
        <v>1173</v>
      </c>
      <c r="N86" s="5">
        <f t="shared" si="3"/>
        <v>0.9</v>
      </c>
      <c r="O86" s="17" t="s">
        <v>1209</v>
      </c>
    </row>
    <row r="87" spans="1:15" ht="18.75" x14ac:dyDescent="0.3">
      <c r="A87" s="1" t="s">
        <v>355</v>
      </c>
      <c r="B87" s="1" t="s">
        <v>356</v>
      </c>
      <c r="C87" s="1" t="s">
        <v>357</v>
      </c>
      <c r="D87" s="3">
        <v>700</v>
      </c>
      <c r="E87" s="2">
        <v>149</v>
      </c>
      <c r="F87" s="4">
        <v>0.78</v>
      </c>
      <c r="G87">
        <v>4</v>
      </c>
      <c r="H87" s="1" t="s">
        <v>17</v>
      </c>
      <c r="I87" s="1" t="s">
        <v>1175</v>
      </c>
      <c r="J87" s="1" t="s">
        <v>1177</v>
      </c>
      <c r="K87" s="1" t="s">
        <v>292</v>
      </c>
      <c r="L87" s="1" t="s">
        <v>21</v>
      </c>
      <c r="M87" s="2">
        <f t="shared" si="2"/>
        <v>849</v>
      </c>
      <c r="N87" s="5">
        <f t="shared" si="3"/>
        <v>0.9</v>
      </c>
      <c r="O87" s="17" t="s">
        <v>1209</v>
      </c>
    </row>
    <row r="88" spans="1:15" ht="18.75" x14ac:dyDescent="0.3">
      <c r="A88" s="1" t="s">
        <v>361</v>
      </c>
      <c r="B88" s="1" t="s">
        <v>362</v>
      </c>
      <c r="C88" s="1" t="s">
        <v>363</v>
      </c>
      <c r="D88" s="3">
        <v>599</v>
      </c>
      <c r="E88" s="2">
        <v>149</v>
      </c>
      <c r="F88" s="4">
        <v>0.75</v>
      </c>
      <c r="G88">
        <v>1</v>
      </c>
      <c r="H88" s="1" t="s">
        <v>29</v>
      </c>
      <c r="I88" s="1" t="s">
        <v>1174</v>
      </c>
      <c r="J88" s="1" t="s">
        <v>1180</v>
      </c>
      <c r="K88" s="1" t="s">
        <v>366</v>
      </c>
      <c r="L88" s="1" t="s">
        <v>21</v>
      </c>
      <c r="M88" s="2">
        <f t="shared" si="2"/>
        <v>748</v>
      </c>
      <c r="N88" s="5">
        <f t="shared" si="3"/>
        <v>0.9</v>
      </c>
      <c r="O88" s="17" t="s">
        <v>1208</v>
      </c>
    </row>
    <row r="89" spans="1:15" ht="18.75" x14ac:dyDescent="0.3">
      <c r="A89" s="1" t="s">
        <v>367</v>
      </c>
      <c r="B89" s="1" t="s">
        <v>368</v>
      </c>
      <c r="C89" s="1" t="s">
        <v>369</v>
      </c>
      <c r="D89" s="3">
        <v>399</v>
      </c>
      <c r="E89" s="2">
        <v>182</v>
      </c>
      <c r="F89" s="4">
        <v>0.54</v>
      </c>
      <c r="G89">
        <v>1.9</v>
      </c>
      <c r="H89" s="1" t="s">
        <v>29</v>
      </c>
      <c r="I89" s="1" t="s">
        <v>1173</v>
      </c>
      <c r="J89" s="1" t="s">
        <v>1177</v>
      </c>
      <c r="K89" s="1" t="s">
        <v>297</v>
      </c>
      <c r="L89" s="1" t="s">
        <v>21</v>
      </c>
      <c r="M89" s="2">
        <f t="shared" si="2"/>
        <v>581</v>
      </c>
      <c r="N89" s="5">
        <f t="shared" si="3"/>
        <v>0.9</v>
      </c>
      <c r="O89" s="17" t="s">
        <v>1209</v>
      </c>
    </row>
    <row r="90" spans="1:15" ht="18.75" x14ac:dyDescent="0.3">
      <c r="A90" s="1" t="s">
        <v>373</v>
      </c>
      <c r="B90" s="1" t="s">
        <v>33</v>
      </c>
      <c r="C90" s="1" t="s">
        <v>34</v>
      </c>
      <c r="D90" s="3">
        <v>449</v>
      </c>
      <c r="E90" s="2">
        <v>384</v>
      </c>
      <c r="F90" s="4">
        <v>0.14000000000000001</v>
      </c>
      <c r="G90">
        <v>4.4000000000000004</v>
      </c>
      <c r="H90" s="1" t="s">
        <v>29</v>
      </c>
      <c r="I90" s="1" t="s">
        <v>1167</v>
      </c>
      <c r="J90" s="1" t="s">
        <v>1178</v>
      </c>
      <c r="K90" s="1" t="s">
        <v>41</v>
      </c>
      <c r="L90" s="1" t="s">
        <v>21</v>
      </c>
      <c r="M90" s="2">
        <f t="shared" si="2"/>
        <v>833</v>
      </c>
      <c r="N90" s="5">
        <f t="shared" si="3"/>
        <v>0.9</v>
      </c>
      <c r="O90" s="17" t="s">
        <v>1209</v>
      </c>
    </row>
    <row r="91" spans="1:15" ht="18.75" x14ac:dyDescent="0.3">
      <c r="A91" s="1" t="s">
        <v>374</v>
      </c>
      <c r="B91" s="1" t="s">
        <v>78</v>
      </c>
      <c r="C91" s="1" t="s">
        <v>79</v>
      </c>
      <c r="D91" s="3">
        <v>499</v>
      </c>
      <c r="E91" s="2">
        <v>335</v>
      </c>
      <c r="F91" s="4">
        <v>0.32</v>
      </c>
      <c r="G91">
        <v>4</v>
      </c>
      <c r="H91" s="1" t="s">
        <v>29</v>
      </c>
      <c r="I91" s="1" t="s">
        <v>1169</v>
      </c>
      <c r="J91" s="1" t="s">
        <v>1178</v>
      </c>
      <c r="K91" s="1" t="s">
        <v>41</v>
      </c>
      <c r="L91" s="1" t="s">
        <v>21</v>
      </c>
      <c r="M91" s="2">
        <f t="shared" si="2"/>
        <v>834</v>
      </c>
      <c r="N91" s="5">
        <f t="shared" si="3"/>
        <v>0.9</v>
      </c>
      <c r="O91" s="17" t="s">
        <v>1208</v>
      </c>
    </row>
    <row r="92" spans="1:15" ht="18.75" x14ac:dyDescent="0.3">
      <c r="A92" s="1" t="s">
        <v>375</v>
      </c>
      <c r="B92" s="1" t="s">
        <v>376</v>
      </c>
      <c r="C92" s="1" t="s">
        <v>377</v>
      </c>
      <c r="D92" s="3">
        <v>599</v>
      </c>
      <c r="E92" s="2">
        <v>135</v>
      </c>
      <c r="F92" s="4">
        <v>0.77</v>
      </c>
      <c r="G92">
        <v>3.6</v>
      </c>
      <c r="H92" s="1" t="s">
        <v>29</v>
      </c>
      <c r="I92" s="1" t="s">
        <v>1173</v>
      </c>
      <c r="J92" s="1" t="s">
        <v>1177</v>
      </c>
      <c r="K92" s="1" t="s">
        <v>55</v>
      </c>
      <c r="L92" s="1" t="s">
        <v>21</v>
      </c>
      <c r="M92" s="2">
        <f t="shared" si="2"/>
        <v>734</v>
      </c>
      <c r="N92" s="5">
        <f t="shared" si="3"/>
        <v>0.9</v>
      </c>
      <c r="O92" s="17" t="s">
        <v>1209</v>
      </c>
    </row>
    <row r="93" spans="1:15" ht="18.75" x14ac:dyDescent="0.3">
      <c r="A93" s="1" t="s">
        <v>378</v>
      </c>
      <c r="B93" s="1" t="s">
        <v>379</v>
      </c>
      <c r="C93" s="1" t="s">
        <v>380</v>
      </c>
      <c r="D93" s="3">
        <v>299</v>
      </c>
      <c r="E93" s="2">
        <v>167</v>
      </c>
      <c r="F93" s="4">
        <v>0.44</v>
      </c>
      <c r="G93">
        <v>3.5</v>
      </c>
      <c r="H93" s="1" t="s">
        <v>29</v>
      </c>
      <c r="I93" s="1" t="s">
        <v>1173</v>
      </c>
      <c r="J93" s="1" t="s">
        <v>1177</v>
      </c>
      <c r="K93" s="1" t="s">
        <v>383</v>
      </c>
      <c r="L93" s="1" t="s">
        <v>21</v>
      </c>
      <c r="M93" s="2">
        <f t="shared" si="2"/>
        <v>466</v>
      </c>
      <c r="N93" s="5">
        <f t="shared" si="3"/>
        <v>0.9</v>
      </c>
      <c r="O93" s="17" t="s">
        <v>1209</v>
      </c>
    </row>
    <row r="94" spans="1:15" ht="18.75" x14ac:dyDescent="0.3">
      <c r="A94" s="1" t="s">
        <v>384</v>
      </c>
      <c r="B94" s="1" t="s">
        <v>78</v>
      </c>
      <c r="C94" s="1" t="s">
        <v>79</v>
      </c>
      <c r="D94" s="3">
        <v>749</v>
      </c>
      <c r="E94" s="2">
        <v>516</v>
      </c>
      <c r="F94" s="4">
        <v>0.31</v>
      </c>
      <c r="G94">
        <v>3.6</v>
      </c>
      <c r="H94" s="1" t="s">
        <v>29</v>
      </c>
      <c r="I94" s="1" t="s">
        <v>1169</v>
      </c>
      <c r="J94" s="1" t="s">
        <v>1178</v>
      </c>
      <c r="K94" s="1" t="s">
        <v>41</v>
      </c>
      <c r="L94" s="1" t="s">
        <v>21</v>
      </c>
      <c r="M94" s="2">
        <f t="shared" si="2"/>
        <v>1265</v>
      </c>
      <c r="N94" s="5">
        <f t="shared" si="3"/>
        <v>0.9</v>
      </c>
      <c r="O94" s="17" t="s">
        <v>1209</v>
      </c>
    </row>
    <row r="95" spans="1:15" ht="18.75" x14ac:dyDescent="0.3">
      <c r="A95" s="1" t="s">
        <v>385</v>
      </c>
      <c r="B95" s="1" t="s">
        <v>101</v>
      </c>
      <c r="C95" s="1" t="s">
        <v>102</v>
      </c>
      <c r="D95" s="3">
        <v>549</v>
      </c>
      <c r="E95" s="2">
        <v>388</v>
      </c>
      <c r="F95" s="4">
        <v>0.28999999999999998</v>
      </c>
      <c r="G95">
        <v>4.3</v>
      </c>
      <c r="H95" s="1" t="s">
        <v>29</v>
      </c>
      <c r="I95" s="1" t="s">
        <v>1171</v>
      </c>
      <c r="J95" s="1" t="s">
        <v>1178</v>
      </c>
      <c r="K95" s="1" t="s">
        <v>41</v>
      </c>
      <c r="L95" s="1" t="s">
        <v>21</v>
      </c>
      <c r="M95" s="2">
        <f t="shared" si="2"/>
        <v>937</v>
      </c>
      <c r="N95" s="5">
        <f t="shared" si="3"/>
        <v>0.9</v>
      </c>
      <c r="O95" s="17" t="s">
        <v>1209</v>
      </c>
    </row>
    <row r="96" spans="1:15" ht="18.75" x14ac:dyDescent="0.3">
      <c r="A96" s="1" t="s">
        <v>386</v>
      </c>
      <c r="B96" s="1" t="s">
        <v>387</v>
      </c>
      <c r="C96" s="1" t="s">
        <v>388</v>
      </c>
      <c r="D96" s="3">
        <v>1489</v>
      </c>
      <c r="E96" s="2">
        <v>528</v>
      </c>
      <c r="F96" s="4">
        <v>0.64</v>
      </c>
      <c r="G96">
        <v>4</v>
      </c>
      <c r="H96" s="1" t="s">
        <v>29</v>
      </c>
      <c r="I96" s="1" t="s">
        <v>1168</v>
      </c>
      <c r="J96" s="1" t="s">
        <v>1177</v>
      </c>
      <c r="K96" s="1" t="s">
        <v>392</v>
      </c>
      <c r="L96" s="1" t="s">
        <v>21</v>
      </c>
      <c r="M96" s="2">
        <f t="shared" si="2"/>
        <v>2017</v>
      </c>
      <c r="N96" s="5">
        <f t="shared" si="3"/>
        <v>0.9</v>
      </c>
      <c r="O96" s="17" t="s">
        <v>1209</v>
      </c>
    </row>
    <row r="97" spans="1:15" ht="18.75" x14ac:dyDescent="0.3">
      <c r="A97" s="1" t="s">
        <v>393</v>
      </c>
      <c r="B97" s="1" t="s">
        <v>394</v>
      </c>
      <c r="C97" s="1" t="s">
        <v>395</v>
      </c>
      <c r="D97" s="3">
        <v>369</v>
      </c>
      <c r="E97" s="2">
        <v>181</v>
      </c>
      <c r="F97" s="4">
        <v>0.5</v>
      </c>
      <c r="G97">
        <v>3.6</v>
      </c>
      <c r="H97" s="1" t="s">
        <v>29</v>
      </c>
      <c r="I97" s="1" t="s">
        <v>1174</v>
      </c>
      <c r="J97" s="1" t="s">
        <v>1177</v>
      </c>
      <c r="K97" s="1" t="s">
        <v>88</v>
      </c>
      <c r="L97" s="1" t="s">
        <v>21</v>
      </c>
      <c r="M97" s="2">
        <f t="shared" si="2"/>
        <v>550</v>
      </c>
      <c r="N97" s="5">
        <f t="shared" si="3"/>
        <v>0.9</v>
      </c>
      <c r="O97" s="17" t="s">
        <v>1209</v>
      </c>
    </row>
    <row r="98" spans="1:15" ht="18.75" x14ac:dyDescent="0.3">
      <c r="A98" s="1" t="s">
        <v>397</v>
      </c>
      <c r="B98" s="1" t="s">
        <v>398</v>
      </c>
      <c r="C98" s="1" t="s">
        <v>399</v>
      </c>
      <c r="D98" s="3">
        <v>199</v>
      </c>
      <c r="E98" s="2">
        <v>147</v>
      </c>
      <c r="F98" s="4">
        <v>0.26</v>
      </c>
      <c r="G98">
        <v>3.6</v>
      </c>
      <c r="H98" s="1" t="s">
        <v>17</v>
      </c>
      <c r="I98" s="1" t="s">
        <v>1173</v>
      </c>
      <c r="J98" s="1" t="s">
        <v>1177</v>
      </c>
      <c r="K98" s="1" t="s">
        <v>88</v>
      </c>
      <c r="L98" s="1" t="s">
        <v>21</v>
      </c>
      <c r="M98" s="2">
        <f t="shared" si="2"/>
        <v>346</v>
      </c>
      <c r="N98" s="5">
        <f t="shared" si="3"/>
        <v>0.9</v>
      </c>
      <c r="O98" s="17" t="s">
        <v>1209</v>
      </c>
    </row>
    <row r="99" spans="1:15" ht="18.75" x14ac:dyDescent="0.3">
      <c r="A99" s="1" t="s">
        <v>402</v>
      </c>
      <c r="B99" s="1" t="s">
        <v>403</v>
      </c>
      <c r="C99" s="1" t="s">
        <v>404</v>
      </c>
      <c r="D99" s="3">
        <v>499</v>
      </c>
      <c r="E99" s="2">
        <v>137</v>
      </c>
      <c r="F99" s="4">
        <v>0.72</v>
      </c>
      <c r="G99">
        <v>3.4</v>
      </c>
      <c r="H99" s="1" t="s">
        <v>29</v>
      </c>
      <c r="I99" s="1" t="s">
        <v>1173</v>
      </c>
      <c r="J99" s="1" t="s">
        <v>1180</v>
      </c>
      <c r="K99" s="1" t="s">
        <v>406</v>
      </c>
      <c r="L99" s="1" t="s">
        <v>21</v>
      </c>
      <c r="M99" s="2">
        <f t="shared" si="2"/>
        <v>636</v>
      </c>
      <c r="N99" s="5">
        <f t="shared" si="3"/>
        <v>0.9</v>
      </c>
      <c r="O99" s="17" t="s">
        <v>1209</v>
      </c>
    </row>
    <row r="100" spans="1:15" ht="18.75" x14ac:dyDescent="0.3">
      <c r="A100" s="1" t="s">
        <v>407</v>
      </c>
      <c r="B100" s="1" t="s">
        <v>43</v>
      </c>
      <c r="C100" s="1" t="s">
        <v>44</v>
      </c>
      <c r="D100" s="3">
        <v>449</v>
      </c>
      <c r="E100" s="2">
        <v>349</v>
      </c>
      <c r="F100" s="4">
        <v>0.22</v>
      </c>
      <c r="G100">
        <v>4.3</v>
      </c>
      <c r="H100" s="1" t="s">
        <v>29</v>
      </c>
      <c r="I100" s="1" t="s">
        <v>1167</v>
      </c>
      <c r="J100" s="1" t="s">
        <v>1178</v>
      </c>
      <c r="K100" s="1" t="s">
        <v>41</v>
      </c>
      <c r="L100" s="1" t="s">
        <v>21</v>
      </c>
      <c r="M100" s="2">
        <f t="shared" si="2"/>
        <v>798</v>
      </c>
      <c r="N100" s="5">
        <f t="shared" si="3"/>
        <v>0.9</v>
      </c>
      <c r="O100" s="17" t="s">
        <v>1209</v>
      </c>
    </row>
    <row r="101" spans="1:15" ht="18.75" x14ac:dyDescent="0.3">
      <c r="A101" s="1" t="s">
        <v>408</v>
      </c>
      <c r="B101" s="1" t="s">
        <v>43</v>
      </c>
      <c r="C101" s="1" t="s">
        <v>44</v>
      </c>
      <c r="D101" s="3">
        <v>449</v>
      </c>
      <c r="E101" s="2">
        <v>349</v>
      </c>
      <c r="F101" s="4">
        <v>0.22</v>
      </c>
      <c r="G101">
        <v>4.3</v>
      </c>
      <c r="H101" s="1" t="s">
        <v>29</v>
      </c>
      <c r="I101" s="1" t="s">
        <v>1167</v>
      </c>
      <c r="J101" s="1" t="s">
        <v>1178</v>
      </c>
      <c r="K101" s="1" t="s">
        <v>41</v>
      </c>
      <c r="L101" s="1" t="s">
        <v>21</v>
      </c>
      <c r="M101" s="2">
        <f t="shared" si="2"/>
        <v>798</v>
      </c>
      <c r="N101" s="5">
        <f t="shared" si="3"/>
        <v>0.9</v>
      </c>
      <c r="O101" s="17" t="s">
        <v>1209</v>
      </c>
    </row>
    <row r="102" spans="1:15" ht="18.75" x14ac:dyDescent="0.3">
      <c r="A102" s="1" t="s">
        <v>409</v>
      </c>
      <c r="B102" s="1" t="s">
        <v>410</v>
      </c>
      <c r="C102" s="1" t="s">
        <v>411</v>
      </c>
      <c r="D102" s="3">
        <v>399</v>
      </c>
      <c r="E102" s="2">
        <v>145</v>
      </c>
      <c r="F102" s="4">
        <v>0.63</v>
      </c>
      <c r="G102">
        <v>3.3</v>
      </c>
      <c r="H102" s="1" t="s">
        <v>17</v>
      </c>
      <c r="I102" s="1" t="s">
        <v>1173</v>
      </c>
      <c r="J102" s="1" t="s">
        <v>1177</v>
      </c>
      <c r="K102" s="1" t="s">
        <v>55</v>
      </c>
      <c r="L102" s="1" t="s">
        <v>21</v>
      </c>
      <c r="M102" s="2">
        <f t="shared" si="2"/>
        <v>544</v>
      </c>
      <c r="N102" s="5">
        <f t="shared" si="3"/>
        <v>0.9</v>
      </c>
      <c r="O102" s="17" t="s">
        <v>1209</v>
      </c>
    </row>
    <row r="103" spans="1:15" ht="18.75" x14ac:dyDescent="0.3">
      <c r="A103" s="1" t="s">
        <v>414</v>
      </c>
      <c r="B103" s="1" t="s">
        <v>415</v>
      </c>
      <c r="C103" s="1" t="s">
        <v>416</v>
      </c>
      <c r="D103" s="3">
        <v>999</v>
      </c>
      <c r="E103" s="2">
        <v>492</v>
      </c>
      <c r="F103" s="4">
        <v>0.5</v>
      </c>
      <c r="G103">
        <v>3.6</v>
      </c>
      <c r="H103" s="1" t="s">
        <v>29</v>
      </c>
      <c r="I103" s="1" t="s">
        <v>1174</v>
      </c>
      <c r="J103" s="1" t="s">
        <v>1178</v>
      </c>
      <c r="K103" s="1" t="s">
        <v>248</v>
      </c>
      <c r="L103" s="1" t="s">
        <v>21</v>
      </c>
      <c r="M103" s="2">
        <f t="shared" si="2"/>
        <v>1491</v>
      </c>
      <c r="N103" s="5">
        <f t="shared" si="3"/>
        <v>0.9</v>
      </c>
      <c r="O103" s="17" t="s">
        <v>1209</v>
      </c>
    </row>
    <row r="104" spans="1:15" ht="18.75" x14ac:dyDescent="0.3">
      <c r="A104" s="1" t="s">
        <v>419</v>
      </c>
      <c r="B104" s="1" t="s">
        <v>78</v>
      </c>
      <c r="C104" s="1" t="s">
        <v>79</v>
      </c>
      <c r="D104" s="3">
        <v>499</v>
      </c>
      <c r="E104" s="2">
        <v>424</v>
      </c>
      <c r="F104" s="4">
        <v>0.15</v>
      </c>
      <c r="G104">
        <v>4.3</v>
      </c>
      <c r="H104" s="1" t="s">
        <v>29</v>
      </c>
      <c r="I104" s="1" t="s">
        <v>1169</v>
      </c>
      <c r="J104" s="1" t="s">
        <v>1178</v>
      </c>
      <c r="K104" s="1" t="s">
        <v>41</v>
      </c>
      <c r="L104" s="1" t="s">
        <v>21</v>
      </c>
      <c r="M104" s="2">
        <f t="shared" si="2"/>
        <v>923</v>
      </c>
      <c r="N104" s="5">
        <f t="shared" si="3"/>
        <v>0.9</v>
      </c>
      <c r="O104" s="17" t="s">
        <v>1208</v>
      </c>
    </row>
    <row r="105" spans="1:15" ht="18.75" x14ac:dyDescent="0.3">
      <c r="A105" s="1" t="s">
        <v>420</v>
      </c>
      <c r="B105" s="1" t="s">
        <v>33</v>
      </c>
      <c r="C105" s="1" t="s">
        <v>34</v>
      </c>
      <c r="D105" s="3">
        <v>449</v>
      </c>
      <c r="E105" s="2">
        <v>359</v>
      </c>
      <c r="F105" s="4">
        <v>0.2</v>
      </c>
      <c r="G105">
        <v>4.4000000000000004</v>
      </c>
      <c r="H105" s="1" t="s">
        <v>29</v>
      </c>
      <c r="I105" s="1" t="s">
        <v>1167</v>
      </c>
      <c r="J105" s="1" t="s">
        <v>1178</v>
      </c>
      <c r="K105" s="1" t="s">
        <v>41</v>
      </c>
      <c r="L105" s="1" t="s">
        <v>21</v>
      </c>
      <c r="M105" s="2">
        <f t="shared" si="2"/>
        <v>808</v>
      </c>
      <c r="N105" s="5">
        <f t="shared" si="3"/>
        <v>0.9</v>
      </c>
      <c r="O105" s="17" t="s">
        <v>1209</v>
      </c>
    </row>
    <row r="106" spans="1:15" ht="18.75" x14ac:dyDescent="0.3">
      <c r="A106" s="1" t="s">
        <v>421</v>
      </c>
      <c r="B106" s="1" t="s">
        <v>422</v>
      </c>
      <c r="C106" s="1" t="s">
        <v>423</v>
      </c>
      <c r="D106" s="3">
        <v>250</v>
      </c>
      <c r="E106" s="2">
        <v>191</v>
      </c>
      <c r="F106" s="4">
        <v>0.23</v>
      </c>
      <c r="G106">
        <v>3.5</v>
      </c>
      <c r="H106" s="1" t="s">
        <v>29</v>
      </c>
      <c r="I106" s="1" t="s">
        <v>1173</v>
      </c>
      <c r="J106" s="1" t="s">
        <v>1177</v>
      </c>
      <c r="K106" s="1" t="s">
        <v>426</v>
      </c>
      <c r="L106" s="1" t="s">
        <v>21</v>
      </c>
      <c r="M106" s="2">
        <f t="shared" si="2"/>
        <v>441</v>
      </c>
      <c r="N106" s="5">
        <f t="shared" si="3"/>
        <v>0.9</v>
      </c>
      <c r="O106" s="17" t="s">
        <v>1208</v>
      </c>
    </row>
    <row r="107" spans="1:15" ht="18.75" x14ac:dyDescent="0.3">
      <c r="A107" s="1" t="s">
        <v>427</v>
      </c>
      <c r="B107" s="1" t="s">
        <v>428</v>
      </c>
      <c r="C107" s="1" t="s">
        <v>429</v>
      </c>
      <c r="D107" s="3">
        <v>560</v>
      </c>
      <c r="E107" s="2">
        <v>205</v>
      </c>
      <c r="F107" s="4">
        <v>0.63</v>
      </c>
      <c r="G107">
        <v>3.4</v>
      </c>
      <c r="H107" s="1" t="s">
        <v>29</v>
      </c>
      <c r="I107" s="1" t="s">
        <v>1169</v>
      </c>
      <c r="J107" s="1" t="s">
        <v>1180</v>
      </c>
      <c r="K107" s="1" t="s">
        <v>432</v>
      </c>
      <c r="L107" s="1" t="s">
        <v>21</v>
      </c>
      <c r="M107" s="2">
        <f t="shared" si="2"/>
        <v>765</v>
      </c>
      <c r="N107" s="5">
        <f t="shared" si="3"/>
        <v>0.9</v>
      </c>
      <c r="O107" s="17" t="s">
        <v>1209</v>
      </c>
    </row>
    <row r="108" spans="1:15" ht="18.75" x14ac:dyDescent="0.3">
      <c r="A108" s="1" t="s">
        <v>433</v>
      </c>
      <c r="B108" s="1" t="s">
        <v>434</v>
      </c>
      <c r="C108" s="1" t="s">
        <v>435</v>
      </c>
      <c r="D108" s="3">
        <v>499</v>
      </c>
      <c r="E108" s="2">
        <v>180</v>
      </c>
      <c r="F108" s="4">
        <v>0.63</v>
      </c>
      <c r="G108">
        <v>3.6</v>
      </c>
      <c r="H108" s="1" t="s">
        <v>29</v>
      </c>
      <c r="I108" s="1" t="s">
        <v>1174</v>
      </c>
      <c r="J108" s="1" t="s">
        <v>1177</v>
      </c>
      <c r="K108" s="1" t="s">
        <v>437</v>
      </c>
      <c r="L108" s="1" t="s">
        <v>21</v>
      </c>
      <c r="M108" s="2">
        <f t="shared" si="2"/>
        <v>679</v>
      </c>
      <c r="N108" s="5">
        <f t="shared" si="3"/>
        <v>0.9</v>
      </c>
      <c r="O108" s="17" t="s">
        <v>1209</v>
      </c>
    </row>
    <row r="109" spans="1:15" ht="18.75" x14ac:dyDescent="0.3">
      <c r="A109" s="1" t="s">
        <v>438</v>
      </c>
      <c r="B109" s="1" t="s">
        <v>439</v>
      </c>
      <c r="C109" s="1" t="s">
        <v>440</v>
      </c>
      <c r="D109" s="3">
        <v>499</v>
      </c>
      <c r="E109" s="2">
        <v>142</v>
      </c>
      <c r="F109" s="4">
        <v>0.71</v>
      </c>
      <c r="G109">
        <v>3.3</v>
      </c>
      <c r="H109" s="1" t="s">
        <v>29</v>
      </c>
      <c r="I109" s="1" t="s">
        <v>1173</v>
      </c>
      <c r="J109" s="1" t="s">
        <v>1180</v>
      </c>
      <c r="K109" s="1" t="s">
        <v>258</v>
      </c>
      <c r="L109" s="1" t="s">
        <v>21</v>
      </c>
      <c r="M109" s="2">
        <f t="shared" si="2"/>
        <v>641</v>
      </c>
      <c r="N109" s="5">
        <f t="shared" si="3"/>
        <v>0.9</v>
      </c>
      <c r="O109" s="17" t="s">
        <v>1208</v>
      </c>
    </row>
    <row r="110" spans="1:15" ht="18.75" x14ac:dyDescent="0.3">
      <c r="A110" s="1" t="s">
        <v>441</v>
      </c>
      <c r="B110" s="1" t="s">
        <v>78</v>
      </c>
      <c r="C110" s="1" t="s">
        <v>79</v>
      </c>
      <c r="D110" s="3">
        <v>449</v>
      </c>
      <c r="E110" s="2">
        <v>335</v>
      </c>
      <c r="F110" s="4">
        <v>0.25</v>
      </c>
      <c r="G110">
        <v>4</v>
      </c>
      <c r="H110" s="1" t="s">
        <v>29</v>
      </c>
      <c r="I110" s="1" t="s">
        <v>1169</v>
      </c>
      <c r="J110" s="1" t="s">
        <v>1178</v>
      </c>
      <c r="K110" s="1" t="s">
        <v>41</v>
      </c>
      <c r="L110" s="1" t="s">
        <v>21</v>
      </c>
      <c r="M110" s="2">
        <f t="shared" si="2"/>
        <v>784</v>
      </c>
      <c r="N110" s="5">
        <f t="shared" si="3"/>
        <v>0.9</v>
      </c>
      <c r="O110" s="17" t="s">
        <v>1208</v>
      </c>
    </row>
    <row r="111" spans="1:15" ht="18.75" x14ac:dyDescent="0.3">
      <c r="A111" s="1" t="s">
        <v>442</v>
      </c>
      <c r="B111" s="1" t="s">
        <v>78</v>
      </c>
      <c r="C111" s="1" t="s">
        <v>79</v>
      </c>
      <c r="D111" s="3">
        <v>499</v>
      </c>
      <c r="E111" s="2">
        <v>426</v>
      </c>
      <c r="F111" s="4">
        <v>0.14000000000000001</v>
      </c>
      <c r="G111">
        <v>4.2</v>
      </c>
      <c r="H111" s="1" t="s">
        <v>29</v>
      </c>
      <c r="I111" s="1" t="s">
        <v>1169</v>
      </c>
      <c r="J111" s="1" t="s">
        <v>1178</v>
      </c>
      <c r="K111" s="1" t="s">
        <v>41</v>
      </c>
      <c r="L111" s="1" t="s">
        <v>21</v>
      </c>
      <c r="M111" s="2">
        <f t="shared" si="2"/>
        <v>925</v>
      </c>
      <c r="N111" s="5">
        <f t="shared" si="3"/>
        <v>0.9</v>
      </c>
      <c r="O111" s="17" t="s">
        <v>1209</v>
      </c>
    </row>
    <row r="112" spans="1:15" ht="18.75" x14ac:dyDescent="0.3">
      <c r="A112" s="1" t="s">
        <v>443</v>
      </c>
      <c r="B112" s="1" t="s">
        <v>444</v>
      </c>
      <c r="C112" s="1" t="s">
        <v>445</v>
      </c>
      <c r="D112" s="3">
        <v>499</v>
      </c>
      <c r="E112" s="2">
        <v>172</v>
      </c>
      <c r="F112" s="4">
        <v>0.65</v>
      </c>
      <c r="G112">
        <v>4</v>
      </c>
      <c r="H112" s="1" t="s">
        <v>17</v>
      </c>
      <c r="I112" s="1" t="s">
        <v>1170</v>
      </c>
      <c r="J112" s="1" t="s">
        <v>1178</v>
      </c>
      <c r="K112" s="1" t="s">
        <v>55</v>
      </c>
      <c r="L112" s="1" t="s">
        <v>21</v>
      </c>
      <c r="M112" s="2">
        <f t="shared" si="2"/>
        <v>671</v>
      </c>
      <c r="N112" s="5">
        <f t="shared" si="3"/>
        <v>0.9</v>
      </c>
      <c r="O112" s="17" t="s">
        <v>1208</v>
      </c>
    </row>
    <row r="113" spans="1:15" ht="18.75" x14ac:dyDescent="0.3">
      <c r="A113" s="1" t="s">
        <v>448</v>
      </c>
      <c r="B113" s="1" t="s">
        <v>449</v>
      </c>
      <c r="C113" s="1" t="s">
        <v>450</v>
      </c>
      <c r="D113" s="3">
        <v>499</v>
      </c>
      <c r="E113" s="2">
        <v>130</v>
      </c>
      <c r="F113" s="4">
        <v>0.73</v>
      </c>
      <c r="G113">
        <v>3.4</v>
      </c>
      <c r="H113" s="1" t="s">
        <v>17</v>
      </c>
      <c r="I113" s="1" t="s">
        <v>1173</v>
      </c>
      <c r="J113" s="1" t="s">
        <v>1177</v>
      </c>
      <c r="K113" s="1" t="s">
        <v>452</v>
      </c>
      <c r="L113" s="1" t="s">
        <v>21</v>
      </c>
      <c r="M113" s="2">
        <f t="shared" si="2"/>
        <v>629</v>
      </c>
      <c r="N113" s="5">
        <f t="shared" si="3"/>
        <v>0.9</v>
      </c>
      <c r="O113" s="17" t="s">
        <v>1209</v>
      </c>
    </row>
    <row r="114" spans="1:15" ht="18.75" x14ac:dyDescent="0.3">
      <c r="A114" s="1" t="s">
        <v>453</v>
      </c>
      <c r="B114" s="1" t="s">
        <v>78</v>
      </c>
      <c r="C114" s="1" t="s">
        <v>79</v>
      </c>
      <c r="D114" s="3">
        <v>499</v>
      </c>
      <c r="E114" s="2">
        <v>335</v>
      </c>
      <c r="F114" s="4">
        <v>0.32</v>
      </c>
      <c r="G114">
        <v>4</v>
      </c>
      <c r="H114" s="1" t="s">
        <v>29</v>
      </c>
      <c r="I114" s="1" t="s">
        <v>1169</v>
      </c>
      <c r="J114" s="1" t="s">
        <v>1178</v>
      </c>
      <c r="K114" s="1" t="s">
        <v>41</v>
      </c>
      <c r="L114" s="1" t="s">
        <v>21</v>
      </c>
      <c r="M114" s="2">
        <f t="shared" si="2"/>
        <v>834</v>
      </c>
      <c r="N114" s="5">
        <f t="shared" si="3"/>
        <v>0.9</v>
      </c>
      <c r="O114" s="17" t="s">
        <v>1209</v>
      </c>
    </row>
    <row r="115" spans="1:15" ht="18.75" x14ac:dyDescent="0.3">
      <c r="A115" s="1" t="s">
        <v>454</v>
      </c>
      <c r="B115" s="1" t="s">
        <v>33</v>
      </c>
      <c r="C115" s="1" t="s">
        <v>34</v>
      </c>
      <c r="D115" s="3">
        <v>445</v>
      </c>
      <c r="E115" s="2">
        <v>335</v>
      </c>
      <c r="F115" s="4">
        <v>0.24</v>
      </c>
      <c r="G115">
        <v>4.4000000000000004</v>
      </c>
      <c r="H115" s="1" t="s">
        <v>29</v>
      </c>
      <c r="I115" s="1" t="s">
        <v>1167</v>
      </c>
      <c r="J115" s="1" t="s">
        <v>1178</v>
      </c>
      <c r="K115" s="1" t="s">
        <v>41</v>
      </c>
      <c r="L115" s="1" t="s">
        <v>21</v>
      </c>
      <c r="M115" s="2">
        <f t="shared" si="2"/>
        <v>780</v>
      </c>
      <c r="N115" s="5">
        <f t="shared" si="3"/>
        <v>0.9</v>
      </c>
      <c r="O115" s="17" t="s">
        <v>1209</v>
      </c>
    </row>
    <row r="116" spans="1:15" ht="18.75" x14ac:dyDescent="0.3">
      <c r="A116" s="1" t="s">
        <v>455</v>
      </c>
      <c r="B116" s="1" t="s">
        <v>456</v>
      </c>
      <c r="C116" s="1" t="s">
        <v>457</v>
      </c>
      <c r="D116" s="3">
        <v>449</v>
      </c>
      <c r="E116" s="2">
        <v>253</v>
      </c>
      <c r="F116" s="4">
        <v>0.43</v>
      </c>
      <c r="G116">
        <v>3.7</v>
      </c>
      <c r="H116" s="1" t="s">
        <v>29</v>
      </c>
      <c r="I116" s="1" t="s">
        <v>1176</v>
      </c>
      <c r="J116" s="1" t="s">
        <v>1177</v>
      </c>
      <c r="K116" s="1" t="s">
        <v>461</v>
      </c>
      <c r="L116" s="1" t="s">
        <v>21</v>
      </c>
      <c r="M116" s="2">
        <f t="shared" si="2"/>
        <v>702</v>
      </c>
      <c r="N116" s="5">
        <f t="shared" si="3"/>
        <v>0.9</v>
      </c>
      <c r="O116" s="17" t="s">
        <v>1209</v>
      </c>
    </row>
    <row r="117" spans="1:15" ht="18.75" x14ac:dyDescent="0.3">
      <c r="A117" s="1" t="s">
        <v>462</v>
      </c>
      <c r="B117" s="1" t="s">
        <v>463</v>
      </c>
      <c r="C117" s="1" t="s">
        <v>464</v>
      </c>
      <c r="D117" s="3">
        <v>999</v>
      </c>
      <c r="E117" s="2">
        <v>179</v>
      </c>
      <c r="F117" s="4">
        <v>0.82</v>
      </c>
      <c r="G117">
        <v>4</v>
      </c>
      <c r="H117" s="1" t="s">
        <v>17</v>
      </c>
      <c r="I117" s="1" t="s">
        <v>1175</v>
      </c>
      <c r="J117" s="1" t="s">
        <v>1177</v>
      </c>
      <c r="K117" s="1" t="s">
        <v>466</v>
      </c>
      <c r="L117" s="1" t="s">
        <v>21</v>
      </c>
      <c r="M117" s="2">
        <f t="shared" si="2"/>
        <v>1178</v>
      </c>
      <c r="N117" s="5">
        <f t="shared" si="3"/>
        <v>0.9</v>
      </c>
      <c r="O117" s="17" t="s">
        <v>1208</v>
      </c>
    </row>
    <row r="118" spans="1:15" ht="18.75" x14ac:dyDescent="0.3">
      <c r="A118" s="1" t="s">
        <v>467</v>
      </c>
      <c r="B118" s="1" t="s">
        <v>468</v>
      </c>
      <c r="C118" s="1" t="s">
        <v>469</v>
      </c>
      <c r="D118" s="3">
        <v>659</v>
      </c>
      <c r="E118" s="2">
        <v>121</v>
      </c>
      <c r="F118" s="4">
        <v>0.81</v>
      </c>
      <c r="G118">
        <v>3.5</v>
      </c>
      <c r="H118" s="1" t="s">
        <v>29</v>
      </c>
      <c r="I118" s="1" t="s">
        <v>1173</v>
      </c>
      <c r="J118" s="1" t="s">
        <v>1177</v>
      </c>
      <c r="K118" s="1" t="s">
        <v>406</v>
      </c>
      <c r="L118" s="1" t="s">
        <v>21</v>
      </c>
      <c r="M118" s="2">
        <f t="shared" si="2"/>
        <v>780</v>
      </c>
      <c r="N118" s="5">
        <f t="shared" si="3"/>
        <v>0.9</v>
      </c>
      <c r="O118" s="17" t="s">
        <v>1208</v>
      </c>
    </row>
    <row r="119" spans="1:15" ht="18.75" x14ac:dyDescent="0.3">
      <c r="A119" s="1" t="s">
        <v>473</v>
      </c>
      <c r="B119" s="1" t="s">
        <v>474</v>
      </c>
      <c r="C119" s="1" t="s">
        <v>475</v>
      </c>
      <c r="D119" s="3">
        <v>399</v>
      </c>
      <c r="E119" s="2">
        <v>169</v>
      </c>
      <c r="F119" s="4">
        <v>0.56999999999999995</v>
      </c>
      <c r="G119">
        <v>4</v>
      </c>
      <c r="H119" s="1" t="s">
        <v>17</v>
      </c>
      <c r="I119" s="1" t="s">
        <v>1169</v>
      </c>
      <c r="J119" s="1" t="s">
        <v>1180</v>
      </c>
      <c r="K119" s="1" t="s">
        <v>477</v>
      </c>
      <c r="L119" s="1" t="s">
        <v>21</v>
      </c>
      <c r="M119" s="2">
        <f t="shared" si="2"/>
        <v>568</v>
      </c>
      <c r="N119" s="5">
        <f t="shared" si="3"/>
        <v>0.9</v>
      </c>
      <c r="O119" s="17" t="s">
        <v>1209</v>
      </c>
    </row>
    <row r="120" spans="1:15" ht="18.75" x14ac:dyDescent="0.3">
      <c r="A120" s="1" t="s">
        <v>478</v>
      </c>
      <c r="B120" s="1" t="s">
        <v>78</v>
      </c>
      <c r="C120" s="1" t="s">
        <v>79</v>
      </c>
      <c r="D120" s="3">
        <v>495</v>
      </c>
      <c r="E120" s="2">
        <v>331</v>
      </c>
      <c r="F120" s="4">
        <v>0.33</v>
      </c>
      <c r="G120">
        <v>4.0999999999999996</v>
      </c>
      <c r="H120" s="1" t="s">
        <v>29</v>
      </c>
      <c r="I120" s="1" t="s">
        <v>1169</v>
      </c>
      <c r="J120" s="1" t="s">
        <v>1178</v>
      </c>
      <c r="K120" s="1" t="s">
        <v>41</v>
      </c>
      <c r="L120" s="1" t="s">
        <v>21</v>
      </c>
      <c r="M120" s="2">
        <f t="shared" si="2"/>
        <v>826</v>
      </c>
      <c r="N120" s="5">
        <f t="shared" si="3"/>
        <v>0.9</v>
      </c>
      <c r="O120" s="17" t="s">
        <v>1209</v>
      </c>
    </row>
    <row r="121" spans="1:15" ht="18.75" x14ac:dyDescent="0.3">
      <c r="A121" s="1" t="s">
        <v>479</v>
      </c>
      <c r="B121" s="1" t="s">
        <v>78</v>
      </c>
      <c r="C121" s="1" t="s">
        <v>214</v>
      </c>
      <c r="D121" s="3">
        <v>349</v>
      </c>
      <c r="E121" s="2">
        <v>325</v>
      </c>
      <c r="F121" s="4">
        <v>0.06</v>
      </c>
      <c r="G121">
        <v>4</v>
      </c>
      <c r="H121" s="1" t="s">
        <v>29</v>
      </c>
      <c r="I121" s="1" t="s">
        <v>1169</v>
      </c>
      <c r="J121" s="1" t="s">
        <v>1178</v>
      </c>
      <c r="K121" s="1" t="s">
        <v>41</v>
      </c>
      <c r="L121" s="1" t="s">
        <v>21</v>
      </c>
      <c r="M121" s="2">
        <f t="shared" si="2"/>
        <v>674</v>
      </c>
      <c r="N121" s="5">
        <f t="shared" si="3"/>
        <v>0.9</v>
      </c>
      <c r="O121" s="17" t="s">
        <v>1209</v>
      </c>
    </row>
    <row r="122" spans="1:15" ht="18.75" x14ac:dyDescent="0.3">
      <c r="A122" s="1" t="s">
        <v>480</v>
      </c>
      <c r="B122" s="1" t="s">
        <v>481</v>
      </c>
      <c r="C122" s="1" t="s">
        <v>482</v>
      </c>
      <c r="D122" s="3">
        <v>299</v>
      </c>
      <c r="E122" s="2">
        <v>139</v>
      </c>
      <c r="F122" s="4">
        <v>0.53</v>
      </c>
      <c r="G122">
        <v>4</v>
      </c>
      <c r="H122" s="1" t="s">
        <v>485</v>
      </c>
      <c r="I122" s="1" t="s">
        <v>1174</v>
      </c>
      <c r="J122" s="1" t="s">
        <v>1180</v>
      </c>
      <c r="K122" s="1" t="s">
        <v>486</v>
      </c>
      <c r="L122" s="1" t="s">
        <v>21</v>
      </c>
      <c r="M122" s="2">
        <f t="shared" si="2"/>
        <v>438</v>
      </c>
      <c r="N122" s="5">
        <f t="shared" si="3"/>
        <v>0.9</v>
      </c>
      <c r="O122" s="17" t="s">
        <v>1209</v>
      </c>
    </row>
    <row r="123" spans="1:15" ht="18.75" x14ac:dyDescent="0.3">
      <c r="A123" s="1" t="s">
        <v>487</v>
      </c>
      <c r="B123" s="1" t="s">
        <v>488</v>
      </c>
      <c r="C123" s="1" t="s">
        <v>489</v>
      </c>
      <c r="D123" s="3">
        <v>499</v>
      </c>
      <c r="E123" s="2">
        <v>140</v>
      </c>
      <c r="F123" s="4">
        <v>0.71</v>
      </c>
      <c r="G123">
        <v>3.5</v>
      </c>
      <c r="H123" s="1" t="s">
        <v>17</v>
      </c>
      <c r="I123" s="1" t="s">
        <v>1173</v>
      </c>
      <c r="J123" s="1" t="s">
        <v>1177</v>
      </c>
      <c r="K123" s="1" t="s">
        <v>490</v>
      </c>
      <c r="L123" s="1" t="s">
        <v>21</v>
      </c>
      <c r="M123" s="2">
        <f t="shared" si="2"/>
        <v>639</v>
      </c>
      <c r="N123" s="5">
        <f t="shared" si="3"/>
        <v>0.9</v>
      </c>
      <c r="O123" s="17" t="s">
        <v>1208</v>
      </c>
    </row>
    <row r="124" spans="1:15" ht="18.75" x14ac:dyDescent="0.3">
      <c r="A124" s="1" t="s">
        <v>491</v>
      </c>
      <c r="B124" s="1" t="s">
        <v>33</v>
      </c>
      <c r="C124" s="1" t="s">
        <v>34</v>
      </c>
      <c r="D124" s="3">
        <v>449</v>
      </c>
      <c r="E124" s="2">
        <v>384</v>
      </c>
      <c r="F124" s="4">
        <v>0.14000000000000001</v>
      </c>
      <c r="G124">
        <v>4.4000000000000004</v>
      </c>
      <c r="H124" s="1" t="s">
        <v>29</v>
      </c>
      <c r="I124" s="1" t="s">
        <v>1167</v>
      </c>
      <c r="J124" s="1" t="s">
        <v>1178</v>
      </c>
      <c r="K124" s="1" t="s">
        <v>41</v>
      </c>
      <c r="L124" s="1" t="s">
        <v>21</v>
      </c>
      <c r="M124" s="2">
        <f t="shared" si="2"/>
        <v>833</v>
      </c>
      <c r="N124" s="5">
        <f t="shared" si="3"/>
        <v>0.9</v>
      </c>
      <c r="O124" s="17" t="s">
        <v>1209</v>
      </c>
    </row>
    <row r="125" spans="1:15" ht="18.75" x14ac:dyDescent="0.3">
      <c r="A125" s="1" t="s">
        <v>492</v>
      </c>
      <c r="B125" s="1" t="s">
        <v>43</v>
      </c>
      <c r="C125" s="1" t="s">
        <v>44</v>
      </c>
      <c r="D125" s="3">
        <v>449</v>
      </c>
      <c r="E125" s="2">
        <v>349</v>
      </c>
      <c r="F125" s="4">
        <v>0.22</v>
      </c>
      <c r="G125">
        <v>4.3</v>
      </c>
      <c r="H125" s="1" t="s">
        <v>29</v>
      </c>
      <c r="I125" s="1" t="s">
        <v>1167</v>
      </c>
      <c r="J125" s="1" t="s">
        <v>1178</v>
      </c>
      <c r="K125" s="1" t="s">
        <v>41</v>
      </c>
      <c r="L125" s="1" t="s">
        <v>21</v>
      </c>
      <c r="M125" s="2">
        <f t="shared" si="2"/>
        <v>798</v>
      </c>
      <c r="N125" s="5">
        <f t="shared" si="3"/>
        <v>0.9</v>
      </c>
      <c r="O125" s="17" t="s">
        <v>1208</v>
      </c>
    </row>
    <row r="126" spans="1:15" ht="18.75" x14ac:dyDescent="0.3">
      <c r="A126" s="1" t="s">
        <v>493</v>
      </c>
      <c r="B126" s="1" t="s">
        <v>494</v>
      </c>
      <c r="C126" s="1" t="s">
        <v>495</v>
      </c>
      <c r="D126" s="3">
        <v>599</v>
      </c>
      <c r="E126" s="2">
        <v>135</v>
      </c>
      <c r="F126" s="4">
        <v>0.77</v>
      </c>
      <c r="G126">
        <v>4.0999999999999996</v>
      </c>
      <c r="H126" s="1" t="s">
        <v>29</v>
      </c>
      <c r="I126" s="1" t="s">
        <v>1168</v>
      </c>
      <c r="J126" s="1" t="s">
        <v>1177</v>
      </c>
      <c r="K126" s="1" t="s">
        <v>55</v>
      </c>
      <c r="L126" s="1" t="s">
        <v>21</v>
      </c>
      <c r="M126" s="2">
        <f t="shared" si="2"/>
        <v>734</v>
      </c>
      <c r="N126" s="5">
        <f t="shared" si="3"/>
        <v>0.9</v>
      </c>
      <c r="O126" s="17" t="s">
        <v>1208</v>
      </c>
    </row>
    <row r="127" spans="1:15" ht="18.75" x14ac:dyDescent="0.3">
      <c r="A127" s="1" t="s">
        <v>496</v>
      </c>
      <c r="B127" s="1" t="s">
        <v>271</v>
      </c>
      <c r="C127" s="1" t="s">
        <v>272</v>
      </c>
      <c r="D127" s="3">
        <v>299</v>
      </c>
      <c r="E127" s="2">
        <v>158</v>
      </c>
      <c r="F127" s="4">
        <v>0.47</v>
      </c>
      <c r="G127">
        <v>3.6</v>
      </c>
      <c r="H127" s="1" t="s">
        <v>29</v>
      </c>
      <c r="I127" s="1" t="s">
        <v>1173</v>
      </c>
      <c r="J127" s="1" t="s">
        <v>1177</v>
      </c>
      <c r="K127" s="1" t="s">
        <v>88</v>
      </c>
      <c r="L127" s="1" t="s">
        <v>21</v>
      </c>
      <c r="M127" s="2">
        <f t="shared" si="2"/>
        <v>457</v>
      </c>
      <c r="N127" s="5">
        <f t="shared" si="3"/>
        <v>0.9</v>
      </c>
      <c r="O127" s="17" t="s">
        <v>1208</v>
      </c>
    </row>
    <row r="128" spans="1:15" ht="18.75" x14ac:dyDescent="0.3">
      <c r="A128" s="1" t="s">
        <v>499</v>
      </c>
      <c r="B128" s="1" t="s">
        <v>500</v>
      </c>
      <c r="C128" s="1" t="s">
        <v>501</v>
      </c>
      <c r="D128" s="3">
        <v>399</v>
      </c>
      <c r="E128" s="2">
        <v>210</v>
      </c>
      <c r="F128" s="4">
        <v>0.47</v>
      </c>
      <c r="G128">
        <v>3.2</v>
      </c>
      <c r="H128" s="1" t="s">
        <v>29</v>
      </c>
      <c r="I128" s="1" t="s">
        <v>1173</v>
      </c>
      <c r="J128" s="1" t="s">
        <v>1177</v>
      </c>
      <c r="K128" s="1" t="s">
        <v>504</v>
      </c>
      <c r="L128" s="1" t="s">
        <v>21</v>
      </c>
      <c r="M128" s="2">
        <f t="shared" si="2"/>
        <v>609</v>
      </c>
      <c r="N128" s="5">
        <f t="shared" si="3"/>
        <v>0.9</v>
      </c>
      <c r="O128" s="17" t="s">
        <v>1209</v>
      </c>
    </row>
    <row r="129" spans="1:15" ht="18.75" x14ac:dyDescent="0.3">
      <c r="A129" s="1" t="s">
        <v>505</v>
      </c>
      <c r="B129" s="1" t="s">
        <v>506</v>
      </c>
      <c r="C129" s="1" t="s">
        <v>507</v>
      </c>
      <c r="D129" s="3">
        <v>799</v>
      </c>
      <c r="E129" s="2">
        <v>205</v>
      </c>
      <c r="F129" s="4">
        <v>0.74</v>
      </c>
      <c r="G129">
        <v>4</v>
      </c>
      <c r="H129" s="1" t="s">
        <v>29</v>
      </c>
      <c r="I129" s="1" t="s">
        <v>1173</v>
      </c>
      <c r="J129" s="1" t="s">
        <v>1180</v>
      </c>
      <c r="K129" s="1" t="s">
        <v>55</v>
      </c>
      <c r="L129" s="1" t="s">
        <v>21</v>
      </c>
      <c r="M129" s="2">
        <f t="shared" si="2"/>
        <v>1004</v>
      </c>
      <c r="N129" s="5">
        <f t="shared" si="3"/>
        <v>0.9</v>
      </c>
      <c r="O129" s="17" t="s">
        <v>1208</v>
      </c>
    </row>
    <row r="130" spans="1:15" ht="18.75" x14ac:dyDescent="0.3">
      <c r="A130" s="1" t="s">
        <v>509</v>
      </c>
      <c r="B130" s="1" t="s">
        <v>33</v>
      </c>
      <c r="C130" s="1" t="s">
        <v>34</v>
      </c>
      <c r="D130" s="3">
        <v>449</v>
      </c>
      <c r="E130" s="2">
        <v>384</v>
      </c>
      <c r="F130" s="4">
        <v>0.14000000000000001</v>
      </c>
      <c r="G130">
        <v>4.4000000000000004</v>
      </c>
      <c r="H130" s="1" t="s">
        <v>29</v>
      </c>
      <c r="I130" s="1" t="s">
        <v>1167</v>
      </c>
      <c r="J130" s="1" t="s">
        <v>1178</v>
      </c>
      <c r="K130" s="1" t="s">
        <v>41</v>
      </c>
      <c r="L130" s="1" t="s">
        <v>21</v>
      </c>
      <c r="M130" s="2">
        <f t="shared" si="2"/>
        <v>833</v>
      </c>
      <c r="N130" s="5">
        <f t="shared" si="3"/>
        <v>0.9</v>
      </c>
      <c r="O130" s="17" t="s">
        <v>1208</v>
      </c>
    </row>
    <row r="131" spans="1:15" ht="18.75" x14ac:dyDescent="0.3">
      <c r="A131" s="1" t="s">
        <v>510</v>
      </c>
      <c r="B131" s="1" t="s">
        <v>78</v>
      </c>
      <c r="C131" s="1" t="s">
        <v>79</v>
      </c>
      <c r="D131" s="3">
        <v>499</v>
      </c>
      <c r="E131" s="2">
        <v>335</v>
      </c>
      <c r="F131" s="4">
        <v>0.32</v>
      </c>
      <c r="G131">
        <v>4</v>
      </c>
      <c r="H131" s="1" t="s">
        <v>29</v>
      </c>
      <c r="I131" s="1" t="s">
        <v>1169</v>
      </c>
      <c r="J131" s="1" t="s">
        <v>1178</v>
      </c>
      <c r="K131" s="1" t="s">
        <v>41</v>
      </c>
      <c r="L131" s="1" t="s">
        <v>21</v>
      </c>
      <c r="M131" s="2">
        <f t="shared" ref="M131:M194" si="4">SUM(D131,E131)</f>
        <v>834</v>
      </c>
      <c r="N131" s="5">
        <f t="shared" ref="N131:N194" si="5">MAX(F131:F570)</f>
        <v>0.9</v>
      </c>
      <c r="O131" s="17" t="s">
        <v>1209</v>
      </c>
    </row>
    <row r="132" spans="1:15" ht="18.75" x14ac:dyDescent="0.3">
      <c r="A132" s="1" t="s">
        <v>511</v>
      </c>
      <c r="B132" s="1" t="s">
        <v>512</v>
      </c>
      <c r="C132" s="1" t="s">
        <v>513</v>
      </c>
      <c r="D132" s="3">
        <v>1200</v>
      </c>
      <c r="E132" s="2">
        <v>177</v>
      </c>
      <c r="F132" s="4">
        <v>0.85</v>
      </c>
      <c r="G132">
        <v>4</v>
      </c>
      <c r="H132" s="1" t="s">
        <v>17</v>
      </c>
      <c r="I132" s="1" t="s">
        <v>1172</v>
      </c>
      <c r="J132" s="1" t="s">
        <v>1180</v>
      </c>
      <c r="K132" s="1" t="s">
        <v>55</v>
      </c>
      <c r="L132" s="1" t="s">
        <v>21</v>
      </c>
      <c r="M132" s="2">
        <f t="shared" si="4"/>
        <v>1377</v>
      </c>
      <c r="N132" s="5">
        <f t="shared" si="5"/>
        <v>0.9</v>
      </c>
      <c r="O132" s="17" t="s">
        <v>1208</v>
      </c>
    </row>
    <row r="133" spans="1:15" ht="18.75" x14ac:dyDescent="0.3">
      <c r="A133" s="1" t="s">
        <v>517</v>
      </c>
      <c r="B133" s="1" t="s">
        <v>518</v>
      </c>
      <c r="C133" s="1" t="s">
        <v>519</v>
      </c>
      <c r="D133" s="3">
        <v>499</v>
      </c>
      <c r="E133" s="2">
        <v>177</v>
      </c>
      <c r="F133" s="4">
        <v>0.64</v>
      </c>
      <c r="G133">
        <v>1.8</v>
      </c>
      <c r="H133" s="1" t="s">
        <v>29</v>
      </c>
      <c r="I133" s="1" t="s">
        <v>1174</v>
      </c>
      <c r="J133" s="1" t="s">
        <v>1177</v>
      </c>
      <c r="K133" s="1" t="s">
        <v>248</v>
      </c>
      <c r="L133" s="1" t="s">
        <v>21</v>
      </c>
      <c r="M133" s="2">
        <f t="shared" si="4"/>
        <v>676</v>
      </c>
      <c r="N133" s="5">
        <f t="shared" si="5"/>
        <v>0.9</v>
      </c>
      <c r="O133" s="17" t="s">
        <v>1209</v>
      </c>
    </row>
    <row r="134" spans="1:15" ht="18.75" x14ac:dyDescent="0.3">
      <c r="A134" s="1" t="s">
        <v>520</v>
      </c>
      <c r="B134" s="1" t="s">
        <v>78</v>
      </c>
      <c r="C134" s="1" t="s">
        <v>79</v>
      </c>
      <c r="D134" s="3">
        <v>749</v>
      </c>
      <c r="E134" s="2">
        <v>516</v>
      </c>
      <c r="F134" s="4">
        <v>0.31</v>
      </c>
      <c r="G134">
        <v>3.6</v>
      </c>
      <c r="H134" s="1" t="s">
        <v>29</v>
      </c>
      <c r="I134" s="1" t="s">
        <v>1169</v>
      </c>
      <c r="J134" s="1" t="s">
        <v>1178</v>
      </c>
      <c r="K134" s="1" t="s">
        <v>41</v>
      </c>
      <c r="L134" s="1" t="s">
        <v>21</v>
      </c>
      <c r="M134" s="2">
        <f t="shared" si="4"/>
        <v>1265</v>
      </c>
      <c r="N134" s="5">
        <f t="shared" si="5"/>
        <v>0.9</v>
      </c>
      <c r="O134" s="17" t="s">
        <v>1208</v>
      </c>
    </row>
    <row r="135" spans="1:15" ht="18.75" x14ac:dyDescent="0.3">
      <c r="A135" s="1" t="s">
        <v>521</v>
      </c>
      <c r="B135" s="1" t="s">
        <v>101</v>
      </c>
      <c r="C135" s="1" t="s">
        <v>102</v>
      </c>
      <c r="D135" s="3">
        <v>549</v>
      </c>
      <c r="E135" s="2">
        <v>388</v>
      </c>
      <c r="F135" s="4">
        <v>0.28999999999999998</v>
      </c>
      <c r="G135">
        <v>4.3</v>
      </c>
      <c r="H135" s="1" t="s">
        <v>29</v>
      </c>
      <c r="I135" s="1" t="s">
        <v>1171</v>
      </c>
      <c r="J135" s="1" t="s">
        <v>1178</v>
      </c>
      <c r="K135" s="1" t="s">
        <v>41</v>
      </c>
      <c r="L135" s="1" t="s">
        <v>21</v>
      </c>
      <c r="M135" s="2">
        <f t="shared" si="4"/>
        <v>937</v>
      </c>
      <c r="N135" s="5">
        <f t="shared" si="5"/>
        <v>0.9</v>
      </c>
      <c r="O135" s="17" t="s">
        <v>1208</v>
      </c>
    </row>
    <row r="136" spans="1:15" ht="18.75" x14ac:dyDescent="0.3">
      <c r="A136" s="1" t="s">
        <v>522</v>
      </c>
      <c r="B136" s="1" t="s">
        <v>523</v>
      </c>
      <c r="C136" s="1" t="s">
        <v>524</v>
      </c>
      <c r="D136" s="3">
        <v>299</v>
      </c>
      <c r="E136" s="2">
        <v>145</v>
      </c>
      <c r="F136" s="4">
        <v>0.51</v>
      </c>
      <c r="G136">
        <v>3.5</v>
      </c>
      <c r="H136" s="1" t="s">
        <v>29</v>
      </c>
      <c r="I136" s="1" t="s">
        <v>1167</v>
      </c>
      <c r="J136" s="1" t="s">
        <v>1180</v>
      </c>
      <c r="K136" s="1" t="s">
        <v>525</v>
      </c>
      <c r="L136" s="1" t="s">
        <v>21</v>
      </c>
      <c r="M136" s="2">
        <f t="shared" si="4"/>
        <v>444</v>
      </c>
      <c r="N136" s="5">
        <f t="shared" si="5"/>
        <v>0.9</v>
      </c>
      <c r="O136" s="17" t="s">
        <v>1209</v>
      </c>
    </row>
    <row r="137" spans="1:15" ht="18.75" x14ac:dyDescent="0.3">
      <c r="A137" s="1" t="s">
        <v>526</v>
      </c>
      <c r="B137" s="1" t="s">
        <v>527</v>
      </c>
      <c r="C137" s="1" t="s">
        <v>528</v>
      </c>
      <c r="D137" s="3">
        <v>499</v>
      </c>
      <c r="E137" s="2">
        <v>140</v>
      </c>
      <c r="F137" s="4">
        <v>0.71</v>
      </c>
      <c r="G137">
        <v>3.2</v>
      </c>
      <c r="H137" s="1" t="s">
        <v>29</v>
      </c>
      <c r="I137" s="1" t="s">
        <v>1174</v>
      </c>
      <c r="J137" s="1" t="s">
        <v>1179</v>
      </c>
      <c r="K137" s="1" t="s">
        <v>88</v>
      </c>
      <c r="L137" s="1" t="s">
        <v>21</v>
      </c>
      <c r="M137" s="2">
        <f t="shared" si="4"/>
        <v>639</v>
      </c>
      <c r="N137" s="5">
        <f t="shared" si="5"/>
        <v>0.9</v>
      </c>
      <c r="O137" s="17" t="s">
        <v>1209</v>
      </c>
    </row>
    <row r="138" spans="1:15" ht="18.75" x14ac:dyDescent="0.3">
      <c r="A138" s="1" t="s">
        <v>529</v>
      </c>
      <c r="B138" s="1" t="s">
        <v>530</v>
      </c>
      <c r="C138" s="1" t="s">
        <v>531</v>
      </c>
      <c r="D138" s="3">
        <v>385</v>
      </c>
      <c r="E138" s="2">
        <v>140</v>
      </c>
      <c r="F138" s="4">
        <v>0.63</v>
      </c>
      <c r="G138">
        <v>4</v>
      </c>
      <c r="H138" s="1" t="s">
        <v>29</v>
      </c>
      <c r="I138" s="1" t="s">
        <v>1173</v>
      </c>
      <c r="J138" s="1" t="s">
        <v>1179</v>
      </c>
      <c r="K138" s="1" t="s">
        <v>62</v>
      </c>
      <c r="L138" s="1" t="s">
        <v>21</v>
      </c>
      <c r="M138" s="2">
        <f t="shared" si="4"/>
        <v>525</v>
      </c>
      <c r="N138" s="5">
        <f t="shared" si="5"/>
        <v>0.9</v>
      </c>
      <c r="O138" s="17" t="s">
        <v>1208</v>
      </c>
    </row>
    <row r="139" spans="1:15" ht="18.75" x14ac:dyDescent="0.3">
      <c r="A139" s="1" t="s">
        <v>533</v>
      </c>
      <c r="B139" s="1" t="s">
        <v>534</v>
      </c>
      <c r="C139" s="1" t="s">
        <v>535</v>
      </c>
      <c r="D139" s="3">
        <v>599</v>
      </c>
      <c r="E139" s="2">
        <v>137</v>
      </c>
      <c r="F139" s="4">
        <v>0.77</v>
      </c>
      <c r="G139">
        <v>4</v>
      </c>
      <c r="H139" s="1" t="s">
        <v>29</v>
      </c>
      <c r="I139" s="1" t="s">
        <v>1173</v>
      </c>
      <c r="J139" s="1" t="s">
        <v>1180</v>
      </c>
      <c r="K139" s="1" t="s">
        <v>55</v>
      </c>
      <c r="L139" s="1" t="s">
        <v>21</v>
      </c>
      <c r="M139" s="2">
        <f t="shared" si="4"/>
        <v>736</v>
      </c>
      <c r="N139" s="5">
        <f t="shared" si="5"/>
        <v>0.9</v>
      </c>
      <c r="O139" s="17" t="s">
        <v>1209</v>
      </c>
    </row>
    <row r="140" spans="1:15" ht="18.75" x14ac:dyDescent="0.3">
      <c r="A140" s="1" t="s">
        <v>536</v>
      </c>
      <c r="B140" s="1" t="s">
        <v>43</v>
      </c>
      <c r="C140" s="1" t="s">
        <v>44</v>
      </c>
      <c r="D140" s="3">
        <v>449</v>
      </c>
      <c r="E140" s="2">
        <v>349</v>
      </c>
      <c r="F140" s="4">
        <v>0.22</v>
      </c>
      <c r="G140">
        <v>4.3</v>
      </c>
      <c r="H140" s="1" t="s">
        <v>29</v>
      </c>
      <c r="I140" s="1" t="s">
        <v>1167</v>
      </c>
      <c r="J140" s="1" t="s">
        <v>1178</v>
      </c>
      <c r="K140" s="1" t="s">
        <v>41</v>
      </c>
      <c r="L140" s="1" t="s">
        <v>21</v>
      </c>
      <c r="M140" s="2">
        <f t="shared" si="4"/>
        <v>798</v>
      </c>
      <c r="N140" s="5">
        <f t="shared" si="5"/>
        <v>0.9</v>
      </c>
      <c r="O140" s="17" t="s">
        <v>1209</v>
      </c>
    </row>
    <row r="141" spans="1:15" ht="18.75" x14ac:dyDescent="0.3">
      <c r="A141" s="1" t="s">
        <v>537</v>
      </c>
      <c r="B141" s="1" t="s">
        <v>43</v>
      </c>
      <c r="C141" s="1" t="s">
        <v>44</v>
      </c>
      <c r="D141" s="3">
        <v>449</v>
      </c>
      <c r="E141" s="2">
        <v>349</v>
      </c>
      <c r="F141" s="4">
        <v>0.22</v>
      </c>
      <c r="G141">
        <v>4.3</v>
      </c>
      <c r="H141" s="1" t="s">
        <v>29</v>
      </c>
      <c r="I141" s="1" t="s">
        <v>1167</v>
      </c>
      <c r="J141" s="1" t="s">
        <v>1178</v>
      </c>
      <c r="K141" s="1" t="s">
        <v>41</v>
      </c>
      <c r="L141" s="1" t="s">
        <v>21</v>
      </c>
      <c r="M141" s="2">
        <f t="shared" si="4"/>
        <v>798</v>
      </c>
      <c r="N141" s="5">
        <f t="shared" si="5"/>
        <v>0.9</v>
      </c>
      <c r="O141" s="17" t="s">
        <v>1209</v>
      </c>
    </row>
    <row r="142" spans="1:15" ht="18.75" x14ac:dyDescent="0.3">
      <c r="A142" s="1" t="s">
        <v>538</v>
      </c>
      <c r="B142" s="1" t="s">
        <v>539</v>
      </c>
      <c r="C142" s="1" t="s">
        <v>540</v>
      </c>
      <c r="D142" s="3">
        <v>499</v>
      </c>
      <c r="E142" s="2">
        <v>142</v>
      </c>
      <c r="F142" s="4">
        <v>0.71</v>
      </c>
      <c r="G142">
        <v>3.3</v>
      </c>
      <c r="H142" s="1" t="s">
        <v>17</v>
      </c>
      <c r="I142" s="1" t="s">
        <v>1173</v>
      </c>
      <c r="J142" s="1" t="s">
        <v>1177</v>
      </c>
      <c r="K142" s="1" t="s">
        <v>258</v>
      </c>
      <c r="L142" s="1" t="s">
        <v>21</v>
      </c>
      <c r="M142" s="2">
        <f t="shared" si="4"/>
        <v>641</v>
      </c>
      <c r="N142" s="5">
        <f t="shared" si="5"/>
        <v>0.9</v>
      </c>
      <c r="O142" s="17" t="s">
        <v>1208</v>
      </c>
    </row>
    <row r="143" spans="1:15" ht="18.75" x14ac:dyDescent="0.3">
      <c r="A143" s="1" t="s">
        <v>541</v>
      </c>
      <c r="B143" s="1" t="s">
        <v>542</v>
      </c>
      <c r="C143" s="1" t="s">
        <v>543</v>
      </c>
      <c r="D143" s="3">
        <v>499</v>
      </c>
      <c r="E143" s="2">
        <v>150</v>
      </c>
      <c r="F143" s="4">
        <v>0.69</v>
      </c>
      <c r="G143">
        <v>3.5</v>
      </c>
      <c r="H143" s="1" t="s">
        <v>17</v>
      </c>
      <c r="I143" s="1" t="s">
        <v>1173</v>
      </c>
      <c r="J143" s="1" t="s">
        <v>1177</v>
      </c>
      <c r="K143" s="1" t="s">
        <v>55</v>
      </c>
      <c r="L143" s="1" t="s">
        <v>21</v>
      </c>
      <c r="M143" s="2">
        <f t="shared" si="4"/>
        <v>649</v>
      </c>
      <c r="N143" s="5">
        <f t="shared" si="5"/>
        <v>0.9</v>
      </c>
      <c r="O143" s="17" t="s">
        <v>1209</v>
      </c>
    </row>
    <row r="144" spans="1:15" ht="18.75" x14ac:dyDescent="0.3">
      <c r="A144" s="1" t="s">
        <v>544</v>
      </c>
      <c r="B144" s="1" t="s">
        <v>78</v>
      </c>
      <c r="C144" s="1" t="s">
        <v>79</v>
      </c>
      <c r="D144" s="3">
        <v>499</v>
      </c>
      <c r="E144" s="2">
        <v>424</v>
      </c>
      <c r="F144" s="4">
        <v>0.15</v>
      </c>
      <c r="G144">
        <v>4.3</v>
      </c>
      <c r="H144" s="1" t="s">
        <v>29</v>
      </c>
      <c r="I144" s="1" t="s">
        <v>1169</v>
      </c>
      <c r="J144" s="1" t="s">
        <v>1178</v>
      </c>
      <c r="K144" s="1" t="s">
        <v>41</v>
      </c>
      <c r="L144" s="1" t="s">
        <v>21</v>
      </c>
      <c r="M144" s="2">
        <f t="shared" si="4"/>
        <v>923</v>
      </c>
      <c r="N144" s="5">
        <f t="shared" si="5"/>
        <v>0.9</v>
      </c>
      <c r="O144" s="17" t="s">
        <v>1209</v>
      </c>
    </row>
    <row r="145" spans="1:15" ht="18.75" x14ac:dyDescent="0.3">
      <c r="A145" s="1" t="s">
        <v>545</v>
      </c>
      <c r="B145" s="1" t="s">
        <v>33</v>
      </c>
      <c r="C145" s="1" t="s">
        <v>34</v>
      </c>
      <c r="D145" s="3">
        <v>449</v>
      </c>
      <c r="E145" s="2">
        <v>359</v>
      </c>
      <c r="F145" s="4">
        <v>0.2</v>
      </c>
      <c r="G145">
        <v>4.4000000000000004</v>
      </c>
      <c r="H145" s="1" t="s">
        <v>29</v>
      </c>
      <c r="I145" s="1" t="s">
        <v>1167</v>
      </c>
      <c r="J145" s="1" t="s">
        <v>1178</v>
      </c>
      <c r="K145" s="1" t="s">
        <v>41</v>
      </c>
      <c r="L145" s="1" t="s">
        <v>21</v>
      </c>
      <c r="M145" s="2">
        <f t="shared" si="4"/>
        <v>808</v>
      </c>
      <c r="N145" s="5">
        <f t="shared" si="5"/>
        <v>0.9</v>
      </c>
      <c r="O145" s="17" t="s">
        <v>1209</v>
      </c>
    </row>
    <row r="146" spans="1:15" ht="18.75" x14ac:dyDescent="0.3">
      <c r="A146" s="1" t="s">
        <v>546</v>
      </c>
      <c r="B146" s="1" t="s">
        <v>547</v>
      </c>
      <c r="C146" s="1" t="s">
        <v>548</v>
      </c>
      <c r="D146" s="3">
        <v>419</v>
      </c>
      <c r="E146" s="2">
        <v>231</v>
      </c>
      <c r="F146" s="4">
        <v>0.44</v>
      </c>
      <c r="G146">
        <v>3.9</v>
      </c>
      <c r="H146" s="1" t="s">
        <v>29</v>
      </c>
      <c r="I146" s="1" t="s">
        <v>1168</v>
      </c>
      <c r="J146" s="1" t="s">
        <v>1177</v>
      </c>
      <c r="K146" s="1" t="s">
        <v>552</v>
      </c>
      <c r="L146" s="1" t="s">
        <v>21</v>
      </c>
      <c r="M146" s="2">
        <f t="shared" si="4"/>
        <v>650</v>
      </c>
      <c r="N146" s="5">
        <f t="shared" si="5"/>
        <v>0.9</v>
      </c>
      <c r="O146" s="17" t="s">
        <v>1209</v>
      </c>
    </row>
    <row r="147" spans="1:15" ht="18.75" x14ac:dyDescent="0.3">
      <c r="A147" s="1" t="s">
        <v>553</v>
      </c>
      <c r="B147" s="1" t="s">
        <v>554</v>
      </c>
      <c r="C147" s="1" t="s">
        <v>555</v>
      </c>
      <c r="D147" s="3">
        <v>999</v>
      </c>
      <c r="E147" s="2">
        <v>128</v>
      </c>
      <c r="F147" s="4">
        <v>0.87</v>
      </c>
      <c r="G147">
        <v>3.2</v>
      </c>
      <c r="H147" s="1" t="s">
        <v>29</v>
      </c>
      <c r="I147" s="1" t="s">
        <v>1173</v>
      </c>
      <c r="J147" s="1" t="s">
        <v>1180</v>
      </c>
      <c r="K147" s="1" t="s">
        <v>153</v>
      </c>
      <c r="L147" s="1" t="s">
        <v>21</v>
      </c>
      <c r="M147" s="2">
        <f t="shared" si="4"/>
        <v>1127</v>
      </c>
      <c r="N147" s="5">
        <f t="shared" si="5"/>
        <v>0.9</v>
      </c>
      <c r="O147" s="17" t="s">
        <v>1209</v>
      </c>
    </row>
    <row r="148" spans="1:15" ht="18.75" x14ac:dyDescent="0.3">
      <c r="A148" s="1" t="s">
        <v>557</v>
      </c>
      <c r="B148" s="1" t="s">
        <v>558</v>
      </c>
      <c r="C148" s="1" t="s">
        <v>559</v>
      </c>
      <c r="D148" s="3">
        <v>500</v>
      </c>
      <c r="E148" s="2">
        <v>123</v>
      </c>
      <c r="F148" s="4">
        <v>0.75</v>
      </c>
      <c r="G148">
        <v>3.6</v>
      </c>
      <c r="H148" s="1" t="s">
        <v>17</v>
      </c>
      <c r="I148" s="1" t="s">
        <v>1173</v>
      </c>
      <c r="J148" s="1" t="s">
        <v>1177</v>
      </c>
      <c r="K148" s="1" t="s">
        <v>153</v>
      </c>
      <c r="L148" s="1" t="s">
        <v>21</v>
      </c>
      <c r="M148" s="2">
        <f t="shared" si="4"/>
        <v>623</v>
      </c>
      <c r="N148" s="5">
        <f t="shared" si="5"/>
        <v>0.9</v>
      </c>
      <c r="O148" s="17" t="s">
        <v>1209</v>
      </c>
    </row>
    <row r="149" spans="1:15" ht="18.75" x14ac:dyDescent="0.3">
      <c r="A149" s="1" t="s">
        <v>562</v>
      </c>
      <c r="B149" s="1" t="s">
        <v>563</v>
      </c>
      <c r="C149" s="1" t="s">
        <v>564</v>
      </c>
      <c r="D149" s="3">
        <v>859</v>
      </c>
      <c r="E149" s="2">
        <v>161</v>
      </c>
      <c r="F149" s="4">
        <v>0.81</v>
      </c>
      <c r="G149">
        <v>3.2</v>
      </c>
      <c r="H149" s="1" t="s">
        <v>16</v>
      </c>
      <c r="I149" s="1" t="s">
        <v>1173</v>
      </c>
      <c r="J149" s="1" t="s">
        <v>1180</v>
      </c>
      <c r="K149" s="1" t="s">
        <v>567</v>
      </c>
      <c r="L149" s="1" t="s">
        <v>21</v>
      </c>
      <c r="M149" s="2">
        <f t="shared" si="4"/>
        <v>1020</v>
      </c>
      <c r="N149" s="5">
        <f t="shared" si="5"/>
        <v>0.9</v>
      </c>
      <c r="O149" s="17" t="s">
        <v>1209</v>
      </c>
    </row>
    <row r="150" spans="1:15" ht="18.75" x14ac:dyDescent="0.3">
      <c r="A150" s="1" t="s">
        <v>568</v>
      </c>
      <c r="B150" s="1" t="s">
        <v>78</v>
      </c>
      <c r="C150" s="1" t="s">
        <v>79</v>
      </c>
      <c r="D150" s="3">
        <v>449</v>
      </c>
      <c r="E150" s="2">
        <v>335</v>
      </c>
      <c r="F150" s="4">
        <v>0.25</v>
      </c>
      <c r="G150">
        <v>4</v>
      </c>
      <c r="H150" s="1" t="s">
        <v>29</v>
      </c>
      <c r="I150" s="1" t="s">
        <v>1169</v>
      </c>
      <c r="J150" s="1" t="s">
        <v>1178</v>
      </c>
      <c r="K150" s="1" t="s">
        <v>41</v>
      </c>
      <c r="L150" s="1" t="s">
        <v>21</v>
      </c>
      <c r="M150" s="2">
        <f t="shared" si="4"/>
        <v>784</v>
      </c>
      <c r="N150" s="5">
        <f t="shared" si="5"/>
        <v>0.9</v>
      </c>
      <c r="O150" s="17" t="s">
        <v>1209</v>
      </c>
    </row>
    <row r="151" spans="1:15" ht="18.75" x14ac:dyDescent="0.3">
      <c r="A151" s="1" t="s">
        <v>569</v>
      </c>
      <c r="B151" s="1" t="s">
        <v>78</v>
      </c>
      <c r="C151" s="1" t="s">
        <v>79</v>
      </c>
      <c r="D151" s="3">
        <v>499</v>
      </c>
      <c r="E151" s="2">
        <v>426</v>
      </c>
      <c r="F151" s="4">
        <v>0.14000000000000001</v>
      </c>
      <c r="G151">
        <v>4.2</v>
      </c>
      <c r="H151" s="1" t="s">
        <v>29</v>
      </c>
      <c r="I151" s="1" t="s">
        <v>1169</v>
      </c>
      <c r="J151" s="1" t="s">
        <v>1178</v>
      </c>
      <c r="K151" s="1" t="s">
        <v>41</v>
      </c>
      <c r="L151" s="1" t="s">
        <v>21</v>
      </c>
      <c r="M151" s="2">
        <f t="shared" si="4"/>
        <v>925</v>
      </c>
      <c r="N151" s="5">
        <f t="shared" si="5"/>
        <v>0.9</v>
      </c>
      <c r="O151" s="17" t="s">
        <v>1208</v>
      </c>
    </row>
    <row r="152" spans="1:15" ht="18.75" x14ac:dyDescent="0.3">
      <c r="A152" s="1" t="s">
        <v>570</v>
      </c>
      <c r="B152" s="1" t="s">
        <v>571</v>
      </c>
      <c r="C152" s="1" t="s">
        <v>572</v>
      </c>
      <c r="D152" s="3">
        <v>1420</v>
      </c>
      <c r="E152" s="2">
        <v>142</v>
      </c>
      <c r="F152" s="4">
        <v>0.9</v>
      </c>
      <c r="G152">
        <v>4</v>
      </c>
      <c r="H152" s="1" t="s">
        <v>29</v>
      </c>
      <c r="I152" s="1" t="s">
        <v>1174</v>
      </c>
      <c r="J152" s="1" t="s">
        <v>1180</v>
      </c>
      <c r="K152" s="1" t="s">
        <v>575</v>
      </c>
      <c r="L152" s="1" t="s">
        <v>21</v>
      </c>
      <c r="M152" s="2">
        <f t="shared" si="4"/>
        <v>1562</v>
      </c>
      <c r="N152" s="5">
        <f t="shared" si="5"/>
        <v>0.9</v>
      </c>
      <c r="O152" s="17" t="s">
        <v>1208</v>
      </c>
    </row>
    <row r="153" spans="1:15" ht="18.75" x14ac:dyDescent="0.3">
      <c r="A153" s="1" t="s">
        <v>576</v>
      </c>
      <c r="B153" s="1" t="s">
        <v>577</v>
      </c>
      <c r="C153" s="1" t="s">
        <v>578</v>
      </c>
      <c r="D153" s="3">
        <v>699</v>
      </c>
      <c r="E153" s="2">
        <v>121</v>
      </c>
      <c r="F153" s="4">
        <v>0.82</v>
      </c>
      <c r="G153">
        <v>3.9</v>
      </c>
      <c r="H153" s="1" t="s">
        <v>29</v>
      </c>
      <c r="I153" s="1" t="s">
        <v>1173</v>
      </c>
      <c r="J153" s="1" t="s">
        <v>1177</v>
      </c>
      <c r="K153" s="1" t="s">
        <v>153</v>
      </c>
      <c r="L153" s="1" t="s">
        <v>21</v>
      </c>
      <c r="M153" s="2">
        <f t="shared" si="4"/>
        <v>820</v>
      </c>
      <c r="N153" s="5">
        <f t="shared" si="5"/>
        <v>0.87</v>
      </c>
      <c r="O153" s="17" t="s">
        <v>1209</v>
      </c>
    </row>
    <row r="154" spans="1:15" ht="18.75" x14ac:dyDescent="0.3">
      <c r="A154" s="1" t="s">
        <v>580</v>
      </c>
      <c r="B154" s="1" t="s">
        <v>78</v>
      </c>
      <c r="C154" s="1" t="s">
        <v>79</v>
      </c>
      <c r="D154" s="3">
        <v>499</v>
      </c>
      <c r="E154" s="2">
        <v>335</v>
      </c>
      <c r="F154" s="4">
        <v>0.32</v>
      </c>
      <c r="G154">
        <v>4</v>
      </c>
      <c r="H154" s="1" t="s">
        <v>29</v>
      </c>
      <c r="I154" s="1" t="s">
        <v>1169</v>
      </c>
      <c r="J154" s="1" t="s">
        <v>1178</v>
      </c>
      <c r="K154" s="1" t="s">
        <v>41</v>
      </c>
      <c r="L154" s="1" t="s">
        <v>21</v>
      </c>
      <c r="M154" s="2">
        <f t="shared" si="4"/>
        <v>834</v>
      </c>
      <c r="N154" s="5">
        <f t="shared" si="5"/>
        <v>0.87</v>
      </c>
      <c r="O154" s="17" t="s">
        <v>1209</v>
      </c>
    </row>
    <row r="155" spans="1:15" ht="18.75" x14ac:dyDescent="0.3">
      <c r="A155" s="1" t="s">
        <v>581</v>
      </c>
      <c r="B155" s="1" t="s">
        <v>33</v>
      </c>
      <c r="C155" s="1" t="s">
        <v>34</v>
      </c>
      <c r="D155" s="3">
        <v>445</v>
      </c>
      <c r="E155" s="2">
        <v>335</v>
      </c>
      <c r="F155" s="4">
        <v>0.24</v>
      </c>
      <c r="G155">
        <v>4.4000000000000004</v>
      </c>
      <c r="H155" s="1" t="s">
        <v>29</v>
      </c>
      <c r="I155" s="1" t="s">
        <v>1167</v>
      </c>
      <c r="J155" s="1" t="s">
        <v>1178</v>
      </c>
      <c r="K155" s="1" t="s">
        <v>41</v>
      </c>
      <c r="L155" s="1" t="s">
        <v>21</v>
      </c>
      <c r="M155" s="2">
        <f t="shared" si="4"/>
        <v>780</v>
      </c>
      <c r="N155" s="5">
        <f t="shared" si="5"/>
        <v>0.87</v>
      </c>
      <c r="O155" s="17" t="s">
        <v>1209</v>
      </c>
    </row>
    <row r="156" spans="1:15" ht="18.75" x14ac:dyDescent="0.3">
      <c r="A156" s="1" t="s">
        <v>582</v>
      </c>
      <c r="B156" s="1" t="s">
        <v>583</v>
      </c>
      <c r="C156" s="1" t="s">
        <v>584</v>
      </c>
      <c r="D156" s="3">
        <v>299</v>
      </c>
      <c r="E156" s="2">
        <v>134</v>
      </c>
      <c r="F156" s="4">
        <v>0.55000000000000004</v>
      </c>
      <c r="G156">
        <v>3</v>
      </c>
      <c r="H156" s="1" t="s">
        <v>29</v>
      </c>
      <c r="I156" s="1" t="s">
        <v>1168</v>
      </c>
      <c r="J156" s="1" t="s">
        <v>1180</v>
      </c>
      <c r="K156" s="1" t="s">
        <v>111</v>
      </c>
      <c r="L156" s="1" t="s">
        <v>21</v>
      </c>
      <c r="M156" s="2">
        <f t="shared" si="4"/>
        <v>433</v>
      </c>
      <c r="N156" s="5">
        <f t="shared" si="5"/>
        <v>0.87</v>
      </c>
      <c r="O156" s="17" t="s">
        <v>1209</v>
      </c>
    </row>
    <row r="157" spans="1:15" ht="18.75" x14ac:dyDescent="0.3">
      <c r="A157" s="1" t="s">
        <v>585</v>
      </c>
      <c r="B157" s="1" t="s">
        <v>586</v>
      </c>
      <c r="C157" s="1" t="s">
        <v>587</v>
      </c>
      <c r="D157" s="3">
        <v>489</v>
      </c>
      <c r="E157" s="2">
        <v>188</v>
      </c>
      <c r="F157" s="4">
        <v>0.61</v>
      </c>
      <c r="G157">
        <v>3.8</v>
      </c>
      <c r="H157" s="1" t="s">
        <v>29</v>
      </c>
      <c r="I157" s="1" t="s">
        <v>1171</v>
      </c>
      <c r="J157" s="1" t="s">
        <v>1180</v>
      </c>
      <c r="K157" s="1" t="s">
        <v>591</v>
      </c>
      <c r="L157" s="1" t="s">
        <v>21</v>
      </c>
      <c r="M157" s="2">
        <f t="shared" si="4"/>
        <v>677</v>
      </c>
      <c r="N157" s="5">
        <f t="shared" si="5"/>
        <v>0.87</v>
      </c>
      <c r="O157" s="17" t="s">
        <v>1209</v>
      </c>
    </row>
    <row r="158" spans="1:15" ht="18.75" x14ac:dyDescent="0.3">
      <c r="A158" s="1" t="s">
        <v>592</v>
      </c>
      <c r="B158" s="1" t="s">
        <v>593</v>
      </c>
      <c r="C158" s="1" t="s">
        <v>594</v>
      </c>
      <c r="D158" s="3">
        <v>399</v>
      </c>
      <c r="E158" s="2">
        <v>150</v>
      </c>
      <c r="F158" s="4">
        <v>0.62</v>
      </c>
      <c r="G158">
        <v>3.3</v>
      </c>
      <c r="H158" s="1" t="s">
        <v>29</v>
      </c>
      <c r="I158" s="1" t="s">
        <v>1169</v>
      </c>
      <c r="J158" s="1" t="s">
        <v>1180</v>
      </c>
      <c r="K158" s="1" t="s">
        <v>596</v>
      </c>
      <c r="L158" s="1" t="s">
        <v>21</v>
      </c>
      <c r="M158" s="2">
        <f t="shared" si="4"/>
        <v>549</v>
      </c>
      <c r="N158" s="5">
        <f t="shared" si="5"/>
        <v>0.87</v>
      </c>
      <c r="O158" s="17" t="s">
        <v>1209</v>
      </c>
    </row>
    <row r="159" spans="1:15" ht="18.75" x14ac:dyDescent="0.3">
      <c r="A159" s="1" t="s">
        <v>597</v>
      </c>
      <c r="B159" s="1" t="s">
        <v>598</v>
      </c>
      <c r="C159" s="1" t="s">
        <v>599</v>
      </c>
      <c r="D159" s="3">
        <v>599</v>
      </c>
      <c r="E159" s="2">
        <v>134</v>
      </c>
      <c r="F159" s="4">
        <v>0.77</v>
      </c>
      <c r="G159">
        <v>3.5</v>
      </c>
      <c r="H159" s="1" t="s">
        <v>29</v>
      </c>
      <c r="I159" s="1" t="s">
        <v>1173</v>
      </c>
      <c r="J159" s="1" t="s">
        <v>1180</v>
      </c>
      <c r="K159" s="1" t="s">
        <v>88</v>
      </c>
      <c r="L159" s="1" t="s">
        <v>21</v>
      </c>
      <c r="M159" s="2">
        <f t="shared" si="4"/>
        <v>733</v>
      </c>
      <c r="N159" s="5">
        <f t="shared" si="5"/>
        <v>0.87</v>
      </c>
      <c r="O159" s="17" t="s">
        <v>1209</v>
      </c>
    </row>
    <row r="160" spans="1:15" ht="18.75" x14ac:dyDescent="0.3">
      <c r="A160" s="1" t="s">
        <v>600</v>
      </c>
      <c r="B160" s="1" t="s">
        <v>78</v>
      </c>
      <c r="C160" s="1" t="s">
        <v>79</v>
      </c>
      <c r="D160" s="3">
        <v>495</v>
      </c>
      <c r="E160" s="2">
        <v>331</v>
      </c>
      <c r="F160" s="4">
        <v>0.33</v>
      </c>
      <c r="G160">
        <v>4.0999999999999996</v>
      </c>
      <c r="H160" s="1" t="s">
        <v>29</v>
      </c>
      <c r="I160" s="1" t="s">
        <v>1169</v>
      </c>
      <c r="J160" s="1" t="s">
        <v>1178</v>
      </c>
      <c r="K160" s="1" t="s">
        <v>41</v>
      </c>
      <c r="L160" s="1" t="s">
        <v>21</v>
      </c>
      <c r="M160" s="2">
        <f t="shared" si="4"/>
        <v>826</v>
      </c>
      <c r="N160" s="5">
        <f t="shared" si="5"/>
        <v>0.87</v>
      </c>
      <c r="O160" s="17" t="s">
        <v>1208</v>
      </c>
    </row>
    <row r="161" spans="1:15" ht="18.75" x14ac:dyDescent="0.3">
      <c r="A161" s="1" t="s">
        <v>601</v>
      </c>
      <c r="B161" s="1" t="s">
        <v>78</v>
      </c>
      <c r="C161" s="1" t="s">
        <v>214</v>
      </c>
      <c r="D161" s="3">
        <v>349</v>
      </c>
      <c r="E161" s="2">
        <v>325</v>
      </c>
      <c r="F161" s="4">
        <v>0.06</v>
      </c>
      <c r="G161">
        <v>4</v>
      </c>
      <c r="H161" s="1" t="s">
        <v>29</v>
      </c>
      <c r="I161" s="1" t="s">
        <v>1169</v>
      </c>
      <c r="J161" s="1" t="s">
        <v>1178</v>
      </c>
      <c r="K161" s="1" t="s">
        <v>41</v>
      </c>
      <c r="L161" s="1" t="s">
        <v>21</v>
      </c>
      <c r="M161" s="2">
        <f t="shared" si="4"/>
        <v>674</v>
      </c>
      <c r="N161" s="5">
        <f t="shared" si="5"/>
        <v>0.87</v>
      </c>
      <c r="O161" s="17" t="s">
        <v>1209</v>
      </c>
    </row>
    <row r="162" spans="1:15" ht="18.75" x14ac:dyDescent="0.3">
      <c r="A162" s="1" t="s">
        <v>602</v>
      </c>
      <c r="B162" s="1" t="s">
        <v>603</v>
      </c>
      <c r="C162" s="1" t="s">
        <v>604</v>
      </c>
      <c r="D162" s="3">
        <v>389</v>
      </c>
      <c r="E162" s="2">
        <v>149</v>
      </c>
      <c r="F162" s="4">
        <v>0.61</v>
      </c>
      <c r="G162">
        <v>4</v>
      </c>
      <c r="H162" s="1" t="s">
        <v>29</v>
      </c>
      <c r="I162" s="1" t="s">
        <v>1173</v>
      </c>
      <c r="J162" s="1" t="s">
        <v>1179</v>
      </c>
      <c r="K162" s="1" t="s">
        <v>477</v>
      </c>
      <c r="L162" s="1" t="s">
        <v>21</v>
      </c>
      <c r="M162" s="2">
        <f t="shared" si="4"/>
        <v>538</v>
      </c>
      <c r="N162" s="5">
        <f t="shared" si="5"/>
        <v>0.87</v>
      </c>
      <c r="O162" s="17" t="s">
        <v>1209</v>
      </c>
    </row>
    <row r="163" spans="1:15" ht="18.75" x14ac:dyDescent="0.3">
      <c r="A163" s="1" t="s">
        <v>606</v>
      </c>
      <c r="B163" s="1" t="s">
        <v>607</v>
      </c>
      <c r="C163" s="1" t="s">
        <v>608</v>
      </c>
      <c r="D163" s="3">
        <v>590</v>
      </c>
      <c r="E163" s="2">
        <v>147</v>
      </c>
      <c r="F163" s="4">
        <v>0.75</v>
      </c>
      <c r="G163">
        <v>3.5</v>
      </c>
      <c r="H163" s="1" t="s">
        <v>29</v>
      </c>
      <c r="I163" s="1" t="s">
        <v>1168</v>
      </c>
      <c r="J163" s="1" t="s">
        <v>1177</v>
      </c>
      <c r="K163" s="1" t="s">
        <v>55</v>
      </c>
      <c r="L163" s="1" t="s">
        <v>21</v>
      </c>
      <c r="M163" s="2">
        <f t="shared" si="4"/>
        <v>737</v>
      </c>
      <c r="N163" s="5">
        <f t="shared" si="5"/>
        <v>0.87</v>
      </c>
      <c r="O163" s="17" t="s">
        <v>1208</v>
      </c>
    </row>
    <row r="164" spans="1:15" ht="18.75" x14ac:dyDescent="0.3">
      <c r="A164" s="1" t="s">
        <v>610</v>
      </c>
      <c r="B164" s="1" t="s">
        <v>33</v>
      </c>
      <c r="C164" s="1" t="s">
        <v>34</v>
      </c>
      <c r="D164" s="3">
        <v>449</v>
      </c>
      <c r="E164" s="2">
        <v>384</v>
      </c>
      <c r="F164" s="4">
        <v>0.14000000000000001</v>
      </c>
      <c r="G164">
        <v>4.4000000000000004</v>
      </c>
      <c r="H164" s="1" t="s">
        <v>29</v>
      </c>
      <c r="I164" s="1" t="s">
        <v>1167</v>
      </c>
      <c r="J164" s="1" t="s">
        <v>1178</v>
      </c>
      <c r="K164" s="1" t="s">
        <v>41</v>
      </c>
      <c r="L164" s="1" t="s">
        <v>21</v>
      </c>
      <c r="M164" s="2">
        <f t="shared" si="4"/>
        <v>833</v>
      </c>
      <c r="N164" s="5">
        <f t="shared" si="5"/>
        <v>0.87</v>
      </c>
      <c r="O164" s="17" t="s">
        <v>1209</v>
      </c>
    </row>
    <row r="165" spans="1:15" ht="18.75" x14ac:dyDescent="0.3">
      <c r="A165" s="1" t="s">
        <v>611</v>
      </c>
      <c r="B165" s="1" t="s">
        <v>43</v>
      </c>
      <c r="C165" s="1" t="s">
        <v>44</v>
      </c>
      <c r="D165" s="3">
        <v>449</v>
      </c>
      <c r="E165" s="2">
        <v>349</v>
      </c>
      <c r="F165" s="4">
        <v>0.22</v>
      </c>
      <c r="G165">
        <v>4.3</v>
      </c>
      <c r="H165" s="1" t="s">
        <v>29</v>
      </c>
      <c r="I165" s="1" t="s">
        <v>1167</v>
      </c>
      <c r="J165" s="1" t="s">
        <v>1178</v>
      </c>
      <c r="K165" s="1" t="s">
        <v>41</v>
      </c>
      <c r="L165" s="1" t="s">
        <v>21</v>
      </c>
      <c r="M165" s="2">
        <f t="shared" si="4"/>
        <v>798</v>
      </c>
      <c r="N165" s="5">
        <f t="shared" si="5"/>
        <v>0.87</v>
      </c>
      <c r="O165" s="17" t="s">
        <v>1208</v>
      </c>
    </row>
    <row r="166" spans="1:15" ht="18.75" x14ac:dyDescent="0.3">
      <c r="A166" s="1" t="s">
        <v>612</v>
      </c>
      <c r="B166" s="1" t="s">
        <v>613</v>
      </c>
      <c r="C166" s="1" t="s">
        <v>614</v>
      </c>
      <c r="D166" s="3">
        <v>499</v>
      </c>
      <c r="E166" s="2">
        <v>145</v>
      </c>
      <c r="F166" s="4">
        <v>0.7</v>
      </c>
      <c r="G166">
        <v>3.7</v>
      </c>
      <c r="H166" s="1" t="s">
        <v>29</v>
      </c>
      <c r="I166" s="1" t="s">
        <v>1173</v>
      </c>
      <c r="J166" s="1" t="s">
        <v>1177</v>
      </c>
      <c r="K166" s="1" t="s">
        <v>55</v>
      </c>
      <c r="L166" s="1" t="s">
        <v>21</v>
      </c>
      <c r="M166" s="2">
        <f t="shared" si="4"/>
        <v>644</v>
      </c>
      <c r="N166" s="5">
        <f t="shared" si="5"/>
        <v>0.87</v>
      </c>
      <c r="O166" s="17" t="s">
        <v>1208</v>
      </c>
    </row>
    <row r="167" spans="1:15" ht="18.75" x14ac:dyDescent="0.3">
      <c r="A167" s="1" t="s">
        <v>615</v>
      </c>
      <c r="B167" s="1" t="s">
        <v>616</v>
      </c>
      <c r="C167" s="1" t="s">
        <v>617</v>
      </c>
      <c r="D167" s="3">
        <v>499</v>
      </c>
      <c r="E167" s="2">
        <v>198</v>
      </c>
      <c r="F167" s="4">
        <v>0.6</v>
      </c>
      <c r="G167">
        <v>3.5</v>
      </c>
      <c r="H167" s="1" t="s">
        <v>29</v>
      </c>
      <c r="I167" s="1" t="s">
        <v>1173</v>
      </c>
      <c r="J167" s="1" t="s">
        <v>1177</v>
      </c>
      <c r="K167" s="1" t="s">
        <v>619</v>
      </c>
      <c r="L167" s="1" t="s">
        <v>21</v>
      </c>
      <c r="M167" s="2">
        <f t="shared" si="4"/>
        <v>697</v>
      </c>
      <c r="N167" s="5">
        <f t="shared" si="5"/>
        <v>0.87</v>
      </c>
      <c r="O167" s="17" t="s">
        <v>1208</v>
      </c>
    </row>
    <row r="168" spans="1:15" ht="18.75" x14ac:dyDescent="0.3">
      <c r="A168" s="1" t="s">
        <v>620</v>
      </c>
      <c r="B168" s="1" t="s">
        <v>621</v>
      </c>
      <c r="C168" s="1" t="s">
        <v>622</v>
      </c>
      <c r="D168" s="3">
        <v>599</v>
      </c>
      <c r="E168" s="2">
        <v>140</v>
      </c>
      <c r="F168" s="4">
        <v>0.76</v>
      </c>
      <c r="G168">
        <v>3.8</v>
      </c>
      <c r="H168" s="1" t="s">
        <v>29</v>
      </c>
      <c r="I168" s="1" t="s">
        <v>1168</v>
      </c>
      <c r="J168" s="1" t="s">
        <v>1177</v>
      </c>
      <c r="K168" s="1" t="s">
        <v>88</v>
      </c>
      <c r="L168" s="1" t="s">
        <v>21</v>
      </c>
      <c r="M168" s="2">
        <f t="shared" si="4"/>
        <v>739</v>
      </c>
      <c r="N168" s="5">
        <f t="shared" si="5"/>
        <v>0.87</v>
      </c>
      <c r="O168" s="17" t="s">
        <v>1208</v>
      </c>
    </row>
    <row r="169" spans="1:15" ht="18.75" x14ac:dyDescent="0.3">
      <c r="A169" s="1" t="s">
        <v>623</v>
      </c>
      <c r="B169" s="1" t="s">
        <v>624</v>
      </c>
      <c r="C169" s="1" t="s">
        <v>625</v>
      </c>
      <c r="D169" s="3">
        <v>489</v>
      </c>
      <c r="E169" s="2">
        <v>165</v>
      </c>
      <c r="F169" s="4">
        <v>0.66</v>
      </c>
      <c r="G169">
        <v>3.6</v>
      </c>
      <c r="H169" s="1" t="s">
        <v>17</v>
      </c>
      <c r="I169" s="1" t="s">
        <v>1173</v>
      </c>
      <c r="J169" s="1" t="s">
        <v>1180</v>
      </c>
      <c r="K169" s="1" t="s">
        <v>88</v>
      </c>
      <c r="L169" s="1" t="s">
        <v>21</v>
      </c>
      <c r="M169" s="2">
        <f t="shared" si="4"/>
        <v>654</v>
      </c>
      <c r="N169" s="5">
        <f t="shared" si="5"/>
        <v>0.87</v>
      </c>
      <c r="O169" s="17" t="s">
        <v>1209</v>
      </c>
    </row>
    <row r="170" spans="1:15" ht="18.75" x14ac:dyDescent="0.3">
      <c r="A170" s="1" t="s">
        <v>626</v>
      </c>
      <c r="B170" s="1" t="s">
        <v>33</v>
      </c>
      <c r="C170" s="1" t="s">
        <v>34</v>
      </c>
      <c r="D170" s="3">
        <v>449</v>
      </c>
      <c r="E170" s="2">
        <v>384</v>
      </c>
      <c r="F170" s="4">
        <v>0.14000000000000001</v>
      </c>
      <c r="G170">
        <v>4.4000000000000004</v>
      </c>
      <c r="H170" s="1" t="s">
        <v>29</v>
      </c>
      <c r="I170" s="1" t="s">
        <v>1167</v>
      </c>
      <c r="J170" s="1" t="s">
        <v>1178</v>
      </c>
      <c r="K170" s="1" t="s">
        <v>41</v>
      </c>
      <c r="L170" s="1" t="s">
        <v>21</v>
      </c>
      <c r="M170" s="2">
        <f t="shared" si="4"/>
        <v>833</v>
      </c>
      <c r="N170" s="5">
        <f t="shared" si="5"/>
        <v>0.87</v>
      </c>
      <c r="O170" s="17" t="s">
        <v>1209</v>
      </c>
    </row>
    <row r="171" spans="1:15" ht="18.75" x14ac:dyDescent="0.3">
      <c r="A171" s="1" t="s">
        <v>627</v>
      </c>
      <c r="B171" s="1" t="s">
        <v>78</v>
      </c>
      <c r="C171" s="1" t="s">
        <v>79</v>
      </c>
      <c r="D171" s="3">
        <v>499</v>
      </c>
      <c r="E171" s="2">
        <v>335</v>
      </c>
      <c r="F171" s="4">
        <v>0.32</v>
      </c>
      <c r="G171">
        <v>4</v>
      </c>
      <c r="H171" s="1" t="s">
        <v>29</v>
      </c>
      <c r="I171" s="1" t="s">
        <v>1169</v>
      </c>
      <c r="J171" s="1" t="s">
        <v>1178</v>
      </c>
      <c r="K171" s="1" t="s">
        <v>41</v>
      </c>
      <c r="L171" s="1" t="s">
        <v>21</v>
      </c>
      <c r="M171" s="2">
        <f t="shared" si="4"/>
        <v>834</v>
      </c>
      <c r="N171" s="5">
        <f t="shared" si="5"/>
        <v>0.87</v>
      </c>
      <c r="O171" s="17" t="s">
        <v>1209</v>
      </c>
    </row>
    <row r="172" spans="1:15" ht="18.75" x14ac:dyDescent="0.3">
      <c r="A172" s="1" t="s">
        <v>628</v>
      </c>
      <c r="B172" s="1" t="s">
        <v>629</v>
      </c>
      <c r="C172" s="1" t="s">
        <v>630</v>
      </c>
      <c r="D172" s="3">
        <v>499</v>
      </c>
      <c r="E172" s="2">
        <v>132</v>
      </c>
      <c r="F172" s="4">
        <v>0.73</v>
      </c>
      <c r="G172">
        <v>3.5</v>
      </c>
      <c r="H172" s="1" t="s">
        <v>17</v>
      </c>
      <c r="I172" s="1" t="s">
        <v>1173</v>
      </c>
      <c r="J172" s="1" t="s">
        <v>1179</v>
      </c>
      <c r="K172" s="1" t="s">
        <v>88</v>
      </c>
      <c r="L172" s="1" t="s">
        <v>21</v>
      </c>
      <c r="M172" s="2">
        <f t="shared" si="4"/>
        <v>631</v>
      </c>
      <c r="N172" s="5">
        <f t="shared" si="5"/>
        <v>0.87</v>
      </c>
      <c r="O172" s="17" t="s">
        <v>1208</v>
      </c>
    </row>
    <row r="173" spans="1:15" ht="18.75" x14ac:dyDescent="0.3">
      <c r="A173" s="1" t="s">
        <v>631</v>
      </c>
      <c r="B173" s="1" t="s">
        <v>632</v>
      </c>
      <c r="C173" s="1" t="s">
        <v>633</v>
      </c>
      <c r="D173" s="3">
        <v>256</v>
      </c>
      <c r="E173" s="2">
        <v>193</v>
      </c>
      <c r="F173" s="4">
        <v>0.24</v>
      </c>
      <c r="G173">
        <v>3.6</v>
      </c>
      <c r="H173" s="1" t="s">
        <v>29</v>
      </c>
      <c r="I173" s="1" t="s">
        <v>1168</v>
      </c>
      <c r="J173" s="1" t="s">
        <v>1177</v>
      </c>
      <c r="K173" s="1" t="s">
        <v>88</v>
      </c>
      <c r="L173" s="1" t="s">
        <v>21</v>
      </c>
      <c r="M173" s="2">
        <f t="shared" si="4"/>
        <v>449</v>
      </c>
      <c r="N173" s="5">
        <f t="shared" si="5"/>
        <v>0.87</v>
      </c>
      <c r="O173" s="17" t="s">
        <v>1209</v>
      </c>
    </row>
    <row r="174" spans="1:15" ht="18.75" x14ac:dyDescent="0.3">
      <c r="A174" s="1" t="s">
        <v>636</v>
      </c>
      <c r="B174" s="1" t="s">
        <v>78</v>
      </c>
      <c r="C174" s="1" t="s">
        <v>79</v>
      </c>
      <c r="D174" s="3">
        <v>749</v>
      </c>
      <c r="E174" s="2">
        <v>516</v>
      </c>
      <c r="F174" s="4">
        <v>0.31</v>
      </c>
      <c r="G174">
        <v>3.6</v>
      </c>
      <c r="H174" s="1" t="s">
        <v>29</v>
      </c>
      <c r="I174" s="1" t="s">
        <v>1169</v>
      </c>
      <c r="J174" s="1" t="s">
        <v>1178</v>
      </c>
      <c r="K174" s="1" t="s">
        <v>41</v>
      </c>
      <c r="L174" s="1" t="s">
        <v>21</v>
      </c>
      <c r="M174" s="2">
        <f t="shared" si="4"/>
        <v>1265</v>
      </c>
      <c r="N174" s="5">
        <f t="shared" si="5"/>
        <v>0.87</v>
      </c>
      <c r="O174" s="17" t="s">
        <v>1209</v>
      </c>
    </row>
    <row r="175" spans="1:15" ht="18.75" x14ac:dyDescent="0.3">
      <c r="A175" s="1" t="s">
        <v>637</v>
      </c>
      <c r="B175" s="1" t="s">
        <v>101</v>
      </c>
      <c r="C175" s="1" t="s">
        <v>102</v>
      </c>
      <c r="D175" s="3">
        <v>549</v>
      </c>
      <c r="E175" s="2">
        <v>388</v>
      </c>
      <c r="F175" s="4">
        <v>0.28999999999999998</v>
      </c>
      <c r="G175">
        <v>4.3</v>
      </c>
      <c r="H175" s="1" t="s">
        <v>29</v>
      </c>
      <c r="I175" s="1" t="s">
        <v>1171</v>
      </c>
      <c r="J175" s="1" t="s">
        <v>1178</v>
      </c>
      <c r="K175" s="1" t="s">
        <v>41</v>
      </c>
      <c r="L175" s="1" t="s">
        <v>21</v>
      </c>
      <c r="M175" s="2">
        <f t="shared" si="4"/>
        <v>937</v>
      </c>
      <c r="N175" s="5">
        <f t="shared" si="5"/>
        <v>0.87</v>
      </c>
      <c r="O175" s="17" t="s">
        <v>1208</v>
      </c>
    </row>
    <row r="176" spans="1:15" ht="18.75" x14ac:dyDescent="0.3">
      <c r="A176" s="1" t="s">
        <v>638</v>
      </c>
      <c r="B176" s="1" t="s">
        <v>639</v>
      </c>
      <c r="C176" s="1" t="s">
        <v>640</v>
      </c>
      <c r="D176" s="3">
        <v>600</v>
      </c>
      <c r="E176" s="2">
        <v>150</v>
      </c>
      <c r="F176" s="4">
        <v>0.75</v>
      </c>
      <c r="G176">
        <v>5</v>
      </c>
      <c r="H176" s="1" t="s">
        <v>17</v>
      </c>
      <c r="I176" s="1" t="s">
        <v>1173</v>
      </c>
      <c r="J176" s="1" t="s">
        <v>1177</v>
      </c>
      <c r="K176" s="1" t="s">
        <v>55</v>
      </c>
      <c r="L176" s="1" t="s">
        <v>21</v>
      </c>
      <c r="M176" s="2">
        <f t="shared" si="4"/>
        <v>750</v>
      </c>
      <c r="N176" s="5">
        <f t="shared" si="5"/>
        <v>0.87</v>
      </c>
      <c r="O176" s="17" t="s">
        <v>1208</v>
      </c>
    </row>
    <row r="177" spans="1:15" ht="18.75" x14ac:dyDescent="0.3">
      <c r="A177" s="1" t="s">
        <v>643</v>
      </c>
      <c r="B177" s="1" t="s">
        <v>644</v>
      </c>
      <c r="C177" s="1" t="s">
        <v>645</v>
      </c>
      <c r="D177" s="3">
        <v>499</v>
      </c>
      <c r="E177" s="2">
        <v>139</v>
      </c>
      <c r="F177" s="4">
        <v>0.72</v>
      </c>
      <c r="G177">
        <v>1.6</v>
      </c>
      <c r="H177" s="1" t="s">
        <v>17</v>
      </c>
      <c r="I177" s="1" t="s">
        <v>1168</v>
      </c>
      <c r="J177" s="1" t="s">
        <v>1180</v>
      </c>
      <c r="K177" s="1" t="s">
        <v>338</v>
      </c>
      <c r="L177" s="1" t="s">
        <v>21</v>
      </c>
      <c r="M177" s="2">
        <f t="shared" si="4"/>
        <v>638</v>
      </c>
      <c r="N177" s="5">
        <f t="shared" si="5"/>
        <v>0.87</v>
      </c>
      <c r="O177" s="17" t="s">
        <v>1209</v>
      </c>
    </row>
    <row r="178" spans="1:15" ht="18.75" x14ac:dyDescent="0.3">
      <c r="A178" s="1" t="s">
        <v>647</v>
      </c>
      <c r="B178" s="1" t="s">
        <v>648</v>
      </c>
      <c r="C178" s="1" t="s">
        <v>649</v>
      </c>
      <c r="D178" s="3">
        <v>249</v>
      </c>
      <c r="E178" s="2">
        <v>230</v>
      </c>
      <c r="F178" s="4">
        <v>7.0000000000000007E-2</v>
      </c>
      <c r="G178">
        <v>3.1</v>
      </c>
      <c r="H178" s="1" t="s">
        <v>29</v>
      </c>
      <c r="I178" s="1" t="s">
        <v>1174</v>
      </c>
      <c r="J178" s="1" t="s">
        <v>1180</v>
      </c>
      <c r="K178" s="1" t="s">
        <v>504</v>
      </c>
      <c r="L178" s="1" t="s">
        <v>21</v>
      </c>
      <c r="M178" s="2">
        <f t="shared" si="4"/>
        <v>479</v>
      </c>
      <c r="N178" s="5">
        <f t="shared" si="5"/>
        <v>0.87</v>
      </c>
      <c r="O178" s="17" t="s">
        <v>1208</v>
      </c>
    </row>
    <row r="179" spans="1:15" ht="18.75" x14ac:dyDescent="0.3">
      <c r="A179" s="1" t="s">
        <v>653</v>
      </c>
      <c r="B179" s="1" t="s">
        <v>654</v>
      </c>
      <c r="C179" s="1" t="s">
        <v>655</v>
      </c>
      <c r="D179" s="3">
        <v>599</v>
      </c>
      <c r="E179" s="2">
        <v>140</v>
      </c>
      <c r="F179" s="4">
        <v>0.76</v>
      </c>
      <c r="G179">
        <v>3.9</v>
      </c>
      <c r="H179" s="1" t="s">
        <v>29</v>
      </c>
      <c r="I179" s="1" t="s">
        <v>1168</v>
      </c>
      <c r="J179" s="1" t="s">
        <v>1178</v>
      </c>
      <c r="K179" s="1" t="s">
        <v>525</v>
      </c>
      <c r="L179" s="1" t="s">
        <v>21</v>
      </c>
      <c r="M179" s="2">
        <f t="shared" si="4"/>
        <v>739</v>
      </c>
      <c r="N179" s="5">
        <f t="shared" si="5"/>
        <v>0.87</v>
      </c>
      <c r="O179" s="17" t="s">
        <v>1209</v>
      </c>
    </row>
    <row r="180" spans="1:15" ht="18.75" x14ac:dyDescent="0.3">
      <c r="A180" s="1" t="s">
        <v>656</v>
      </c>
      <c r="B180" s="1" t="s">
        <v>43</v>
      </c>
      <c r="C180" s="1" t="s">
        <v>44</v>
      </c>
      <c r="D180" s="3">
        <v>449</v>
      </c>
      <c r="E180" s="2">
        <v>349</v>
      </c>
      <c r="F180" s="4">
        <v>0.22</v>
      </c>
      <c r="G180">
        <v>4.3</v>
      </c>
      <c r="H180" s="1" t="s">
        <v>29</v>
      </c>
      <c r="I180" s="1" t="s">
        <v>1167</v>
      </c>
      <c r="J180" s="1" t="s">
        <v>1178</v>
      </c>
      <c r="K180" s="1" t="s">
        <v>41</v>
      </c>
      <c r="L180" s="1" t="s">
        <v>21</v>
      </c>
      <c r="M180" s="2">
        <f t="shared" si="4"/>
        <v>798</v>
      </c>
      <c r="N180" s="5">
        <f t="shared" si="5"/>
        <v>0.87</v>
      </c>
      <c r="O180" s="17" t="s">
        <v>1208</v>
      </c>
    </row>
    <row r="181" spans="1:15" ht="18.75" x14ac:dyDescent="0.3">
      <c r="A181" s="1" t="s">
        <v>657</v>
      </c>
      <c r="B181" s="1" t="s">
        <v>43</v>
      </c>
      <c r="C181" s="1" t="s">
        <v>44</v>
      </c>
      <c r="D181" s="3">
        <v>449</v>
      </c>
      <c r="E181" s="2">
        <v>349</v>
      </c>
      <c r="F181" s="4">
        <v>0.22</v>
      </c>
      <c r="G181">
        <v>4.3</v>
      </c>
      <c r="H181" s="1" t="s">
        <v>29</v>
      </c>
      <c r="I181" s="1" t="s">
        <v>1167</v>
      </c>
      <c r="J181" s="1" t="s">
        <v>1178</v>
      </c>
      <c r="K181" s="1" t="s">
        <v>41</v>
      </c>
      <c r="L181" s="1" t="s">
        <v>21</v>
      </c>
      <c r="M181" s="2">
        <f t="shared" si="4"/>
        <v>798</v>
      </c>
      <c r="N181" s="5">
        <f t="shared" si="5"/>
        <v>0.87</v>
      </c>
      <c r="O181" s="17" t="s">
        <v>1209</v>
      </c>
    </row>
    <row r="182" spans="1:15" ht="18.75" x14ac:dyDescent="0.3">
      <c r="A182" s="1" t="s">
        <v>658</v>
      </c>
      <c r="B182" s="1" t="s">
        <v>659</v>
      </c>
      <c r="C182" s="1" t="s">
        <v>660</v>
      </c>
      <c r="D182" s="3">
        <v>499</v>
      </c>
      <c r="E182" s="2">
        <v>155</v>
      </c>
      <c r="F182" s="4">
        <v>0.68</v>
      </c>
      <c r="G182">
        <v>4</v>
      </c>
      <c r="H182" s="1" t="s">
        <v>29</v>
      </c>
      <c r="I182" s="1" t="s">
        <v>1175</v>
      </c>
      <c r="J182" s="1" t="s">
        <v>1177</v>
      </c>
      <c r="K182" s="1" t="s">
        <v>55</v>
      </c>
      <c r="L182" s="1" t="s">
        <v>21</v>
      </c>
      <c r="M182" s="2">
        <f t="shared" si="4"/>
        <v>654</v>
      </c>
      <c r="N182" s="5">
        <f t="shared" si="5"/>
        <v>0.87</v>
      </c>
      <c r="O182" s="17" t="s">
        <v>1208</v>
      </c>
    </row>
    <row r="183" spans="1:15" ht="18.75" x14ac:dyDescent="0.3">
      <c r="A183" s="1" t="s">
        <v>661</v>
      </c>
      <c r="B183" s="1" t="s">
        <v>662</v>
      </c>
      <c r="C183" s="1" t="s">
        <v>663</v>
      </c>
      <c r="D183" s="3">
        <v>499</v>
      </c>
      <c r="E183" s="2">
        <v>170</v>
      </c>
      <c r="F183" s="4">
        <v>0.65</v>
      </c>
      <c r="G183">
        <v>3.3</v>
      </c>
      <c r="H183" s="1" t="s">
        <v>17</v>
      </c>
      <c r="I183" s="1" t="s">
        <v>1172</v>
      </c>
      <c r="J183" s="1" t="s">
        <v>1180</v>
      </c>
      <c r="K183" s="1" t="s">
        <v>338</v>
      </c>
      <c r="L183" s="1" t="s">
        <v>21</v>
      </c>
      <c r="M183" s="2">
        <f t="shared" si="4"/>
        <v>669</v>
      </c>
      <c r="N183" s="5">
        <f t="shared" si="5"/>
        <v>0.87</v>
      </c>
      <c r="O183" s="17" t="s">
        <v>1209</v>
      </c>
    </row>
    <row r="184" spans="1:15" ht="18.75" x14ac:dyDescent="0.3">
      <c r="A184" s="1" t="s">
        <v>665</v>
      </c>
      <c r="B184" s="1" t="s">
        <v>78</v>
      </c>
      <c r="C184" s="1" t="s">
        <v>79</v>
      </c>
      <c r="D184" s="3">
        <v>499</v>
      </c>
      <c r="E184" s="2">
        <v>424</v>
      </c>
      <c r="F184" s="4">
        <v>0.15</v>
      </c>
      <c r="G184">
        <v>4.3</v>
      </c>
      <c r="H184" s="1" t="s">
        <v>29</v>
      </c>
      <c r="I184" s="1" t="s">
        <v>1169</v>
      </c>
      <c r="J184" s="1" t="s">
        <v>1178</v>
      </c>
      <c r="K184" s="1" t="s">
        <v>41</v>
      </c>
      <c r="L184" s="1" t="s">
        <v>21</v>
      </c>
      <c r="M184" s="2">
        <f t="shared" si="4"/>
        <v>923</v>
      </c>
      <c r="N184" s="5">
        <f t="shared" si="5"/>
        <v>0.87</v>
      </c>
      <c r="O184" s="17" t="s">
        <v>1209</v>
      </c>
    </row>
    <row r="185" spans="1:15" ht="18.75" x14ac:dyDescent="0.3">
      <c r="A185" s="1" t="s">
        <v>666</v>
      </c>
      <c r="B185" s="1" t="s">
        <v>33</v>
      </c>
      <c r="C185" s="1" t="s">
        <v>34</v>
      </c>
      <c r="D185" s="3">
        <v>449</v>
      </c>
      <c r="E185" s="2">
        <v>359</v>
      </c>
      <c r="F185" s="4">
        <v>0.2</v>
      </c>
      <c r="G185">
        <v>4.4000000000000004</v>
      </c>
      <c r="H185" s="1" t="s">
        <v>29</v>
      </c>
      <c r="I185" s="1" t="s">
        <v>1167</v>
      </c>
      <c r="J185" s="1" t="s">
        <v>1178</v>
      </c>
      <c r="K185" s="1" t="s">
        <v>41</v>
      </c>
      <c r="L185" s="1" t="s">
        <v>21</v>
      </c>
      <c r="M185" s="2">
        <f t="shared" si="4"/>
        <v>808</v>
      </c>
      <c r="N185" s="5">
        <f t="shared" si="5"/>
        <v>0.87</v>
      </c>
      <c r="O185" s="17" t="s">
        <v>1209</v>
      </c>
    </row>
    <row r="186" spans="1:15" ht="18.75" x14ac:dyDescent="0.3">
      <c r="A186" s="1" t="s">
        <v>667</v>
      </c>
      <c r="B186" s="1" t="s">
        <v>668</v>
      </c>
      <c r="C186" s="1" t="s">
        <v>669</v>
      </c>
      <c r="D186" s="3">
        <v>499</v>
      </c>
      <c r="E186" s="2">
        <v>392</v>
      </c>
      <c r="F186" s="4">
        <v>0.21</v>
      </c>
      <c r="G186">
        <v>3.9</v>
      </c>
      <c r="H186" s="1" t="s">
        <v>29</v>
      </c>
      <c r="I186" s="1" t="s">
        <v>1171</v>
      </c>
      <c r="J186" s="1" t="s">
        <v>1178</v>
      </c>
      <c r="K186" s="1" t="s">
        <v>41</v>
      </c>
      <c r="L186" s="1" t="s">
        <v>21</v>
      </c>
      <c r="M186" s="2">
        <f t="shared" si="4"/>
        <v>891</v>
      </c>
      <c r="N186" s="5">
        <f t="shared" si="5"/>
        <v>0.87</v>
      </c>
      <c r="O186" s="17" t="s">
        <v>1209</v>
      </c>
    </row>
    <row r="187" spans="1:15" ht="18.75" x14ac:dyDescent="0.3">
      <c r="A187" s="1" t="s">
        <v>672</v>
      </c>
      <c r="B187" s="1" t="s">
        <v>673</v>
      </c>
      <c r="C187" s="1" t="s">
        <v>674</v>
      </c>
      <c r="D187" s="3">
        <v>661</v>
      </c>
      <c r="E187" s="2">
        <v>140</v>
      </c>
      <c r="F187" s="4">
        <v>0.78</v>
      </c>
      <c r="G187">
        <v>4.3</v>
      </c>
      <c r="H187" s="1" t="s">
        <v>29</v>
      </c>
      <c r="I187" s="1" t="s">
        <v>1167</v>
      </c>
      <c r="J187" s="1" t="s">
        <v>1177</v>
      </c>
      <c r="K187" s="1" t="s">
        <v>55</v>
      </c>
      <c r="L187" s="1" t="s">
        <v>21</v>
      </c>
      <c r="M187" s="2">
        <f t="shared" si="4"/>
        <v>801</v>
      </c>
      <c r="N187" s="5">
        <f t="shared" si="5"/>
        <v>0.87</v>
      </c>
      <c r="O187" s="17" t="s">
        <v>1208</v>
      </c>
    </row>
    <row r="188" spans="1:15" ht="18.75" x14ac:dyDescent="0.3">
      <c r="A188" s="1" t="s">
        <v>676</v>
      </c>
      <c r="B188" s="1" t="s">
        <v>677</v>
      </c>
      <c r="C188" s="1" t="s">
        <v>678</v>
      </c>
      <c r="D188" s="3">
        <v>788</v>
      </c>
      <c r="E188" s="2">
        <v>140</v>
      </c>
      <c r="F188" s="4">
        <v>0.82</v>
      </c>
      <c r="G188">
        <v>3.7</v>
      </c>
      <c r="H188" s="1" t="s">
        <v>29</v>
      </c>
      <c r="I188" s="1" t="s">
        <v>1175</v>
      </c>
      <c r="J188" s="1" t="s">
        <v>1180</v>
      </c>
      <c r="K188" s="1" t="s">
        <v>680</v>
      </c>
      <c r="L188" s="1" t="s">
        <v>21</v>
      </c>
      <c r="M188" s="2">
        <f t="shared" si="4"/>
        <v>928</v>
      </c>
      <c r="N188" s="5">
        <f t="shared" si="5"/>
        <v>0.87</v>
      </c>
      <c r="O188" s="17" t="s">
        <v>1209</v>
      </c>
    </row>
    <row r="189" spans="1:15" ht="18.75" x14ac:dyDescent="0.3">
      <c r="A189" s="1" t="s">
        <v>681</v>
      </c>
      <c r="B189" s="1" t="s">
        <v>682</v>
      </c>
      <c r="C189" s="1" t="s">
        <v>683</v>
      </c>
      <c r="D189" s="3">
        <v>323</v>
      </c>
      <c r="E189" s="2">
        <v>162</v>
      </c>
      <c r="F189" s="4">
        <v>0.49</v>
      </c>
      <c r="G189">
        <v>3.3</v>
      </c>
      <c r="H189" s="1" t="s">
        <v>17</v>
      </c>
      <c r="I189" s="1" t="s">
        <v>1173</v>
      </c>
      <c r="J189" s="1" t="s">
        <v>1177</v>
      </c>
      <c r="K189" s="1" t="s">
        <v>686</v>
      </c>
      <c r="L189" s="1" t="s">
        <v>21</v>
      </c>
      <c r="M189" s="2">
        <f t="shared" si="4"/>
        <v>485</v>
      </c>
      <c r="N189" s="5">
        <f t="shared" si="5"/>
        <v>0.87</v>
      </c>
      <c r="O189" s="17" t="s">
        <v>1208</v>
      </c>
    </row>
    <row r="190" spans="1:15" ht="18.75" x14ac:dyDescent="0.3">
      <c r="A190" s="1" t="s">
        <v>687</v>
      </c>
      <c r="B190" s="1" t="s">
        <v>78</v>
      </c>
      <c r="C190" s="1" t="s">
        <v>79</v>
      </c>
      <c r="D190" s="3">
        <v>449</v>
      </c>
      <c r="E190" s="2">
        <v>335</v>
      </c>
      <c r="F190" s="4">
        <v>0.25</v>
      </c>
      <c r="G190">
        <v>4</v>
      </c>
      <c r="H190" s="1" t="s">
        <v>29</v>
      </c>
      <c r="I190" s="1" t="s">
        <v>1169</v>
      </c>
      <c r="J190" s="1" t="s">
        <v>1178</v>
      </c>
      <c r="K190" s="1" t="s">
        <v>41</v>
      </c>
      <c r="L190" s="1" t="s">
        <v>21</v>
      </c>
      <c r="M190" s="2">
        <f t="shared" si="4"/>
        <v>784</v>
      </c>
      <c r="N190" s="5">
        <f t="shared" si="5"/>
        <v>0.87</v>
      </c>
      <c r="O190" s="17" t="s">
        <v>1208</v>
      </c>
    </row>
    <row r="191" spans="1:15" ht="18.75" x14ac:dyDescent="0.3">
      <c r="A191" s="1" t="s">
        <v>688</v>
      </c>
      <c r="B191" s="1" t="s">
        <v>78</v>
      </c>
      <c r="C191" s="1" t="s">
        <v>79</v>
      </c>
      <c r="D191" s="3">
        <v>499</v>
      </c>
      <c r="E191" s="2">
        <v>426</v>
      </c>
      <c r="F191" s="4">
        <v>0.14000000000000001</v>
      </c>
      <c r="G191">
        <v>4.2</v>
      </c>
      <c r="H191" s="1" t="s">
        <v>29</v>
      </c>
      <c r="I191" s="1" t="s">
        <v>1169</v>
      </c>
      <c r="J191" s="1" t="s">
        <v>1178</v>
      </c>
      <c r="K191" s="1" t="s">
        <v>41</v>
      </c>
      <c r="L191" s="1" t="s">
        <v>21</v>
      </c>
      <c r="M191" s="2">
        <f t="shared" si="4"/>
        <v>925</v>
      </c>
      <c r="N191" s="5">
        <f t="shared" si="5"/>
        <v>0.87</v>
      </c>
      <c r="O191" s="17" t="s">
        <v>1209</v>
      </c>
    </row>
    <row r="192" spans="1:15" ht="18.75" x14ac:dyDescent="0.3">
      <c r="A192" s="1" t="s">
        <v>689</v>
      </c>
      <c r="B192" s="1" t="s">
        <v>690</v>
      </c>
      <c r="C192" s="1" t="s">
        <v>691</v>
      </c>
      <c r="D192" s="3">
        <v>399</v>
      </c>
      <c r="E192" s="2">
        <v>169</v>
      </c>
      <c r="F192" s="4">
        <v>0.56999999999999995</v>
      </c>
      <c r="G192">
        <v>4</v>
      </c>
      <c r="H192" s="1" t="s">
        <v>17</v>
      </c>
      <c r="I192" s="1" t="s">
        <v>1173</v>
      </c>
      <c r="J192" s="1" t="s">
        <v>1179</v>
      </c>
      <c r="K192" s="1" t="s">
        <v>477</v>
      </c>
      <c r="L192" s="1" t="s">
        <v>21</v>
      </c>
      <c r="M192" s="2">
        <f t="shared" si="4"/>
        <v>568</v>
      </c>
      <c r="N192" s="5">
        <f t="shared" si="5"/>
        <v>0.87</v>
      </c>
      <c r="O192" s="17" t="s">
        <v>1209</v>
      </c>
    </row>
    <row r="193" spans="1:15" ht="18.75" x14ac:dyDescent="0.3">
      <c r="A193" s="1" t="s">
        <v>692</v>
      </c>
      <c r="B193" s="1" t="s">
        <v>693</v>
      </c>
      <c r="C193" s="1" t="s">
        <v>694</v>
      </c>
      <c r="D193" s="3">
        <v>999</v>
      </c>
      <c r="E193" s="2">
        <v>279</v>
      </c>
      <c r="F193" s="4">
        <v>0.72</v>
      </c>
      <c r="G193">
        <v>4</v>
      </c>
      <c r="H193" s="1" t="s">
        <v>17</v>
      </c>
      <c r="I193" s="1" t="s">
        <v>1173</v>
      </c>
      <c r="J193" s="1" t="s">
        <v>1180</v>
      </c>
      <c r="K193" s="1" t="s">
        <v>258</v>
      </c>
      <c r="L193" s="1" t="s">
        <v>21</v>
      </c>
      <c r="M193" s="2">
        <f t="shared" si="4"/>
        <v>1278</v>
      </c>
      <c r="N193" s="5">
        <f t="shared" si="5"/>
        <v>0.87</v>
      </c>
      <c r="O193" s="17" t="s">
        <v>1209</v>
      </c>
    </row>
    <row r="194" spans="1:15" ht="18.75" x14ac:dyDescent="0.3">
      <c r="A194" s="1" t="s">
        <v>696</v>
      </c>
      <c r="B194" s="1" t="s">
        <v>78</v>
      </c>
      <c r="C194" s="1" t="s">
        <v>79</v>
      </c>
      <c r="D194" s="3">
        <v>499</v>
      </c>
      <c r="E194" s="2">
        <v>335</v>
      </c>
      <c r="F194" s="4">
        <v>0.32</v>
      </c>
      <c r="G194">
        <v>4</v>
      </c>
      <c r="H194" s="1" t="s">
        <v>29</v>
      </c>
      <c r="I194" s="1" t="s">
        <v>1169</v>
      </c>
      <c r="J194" s="1" t="s">
        <v>1178</v>
      </c>
      <c r="K194" s="1" t="s">
        <v>41</v>
      </c>
      <c r="L194" s="1" t="s">
        <v>21</v>
      </c>
      <c r="M194" s="2">
        <f t="shared" si="4"/>
        <v>834</v>
      </c>
      <c r="N194" s="5">
        <f t="shared" si="5"/>
        <v>0.87</v>
      </c>
      <c r="O194" s="17" t="s">
        <v>1209</v>
      </c>
    </row>
    <row r="195" spans="1:15" ht="18.75" x14ac:dyDescent="0.3">
      <c r="A195" s="1" t="s">
        <v>697</v>
      </c>
      <c r="B195" s="1" t="s">
        <v>33</v>
      </c>
      <c r="C195" s="1" t="s">
        <v>34</v>
      </c>
      <c r="D195" s="3">
        <v>445</v>
      </c>
      <c r="E195" s="2">
        <v>335</v>
      </c>
      <c r="F195" s="4">
        <v>0.24</v>
      </c>
      <c r="G195">
        <v>4.4000000000000004</v>
      </c>
      <c r="H195" s="1" t="s">
        <v>29</v>
      </c>
      <c r="I195" s="1" t="s">
        <v>1167</v>
      </c>
      <c r="J195" s="1" t="s">
        <v>1178</v>
      </c>
      <c r="K195" s="1" t="s">
        <v>41</v>
      </c>
      <c r="L195" s="1" t="s">
        <v>21</v>
      </c>
      <c r="M195" s="2">
        <f t="shared" ref="M195:M258" si="6">SUM(D195,E195)</f>
        <v>780</v>
      </c>
      <c r="N195" s="5">
        <f t="shared" ref="N195:N258" si="7">MAX(F195:F634)</f>
        <v>0.87</v>
      </c>
      <c r="O195" s="17" t="s">
        <v>1209</v>
      </c>
    </row>
    <row r="196" spans="1:15" ht="18.75" x14ac:dyDescent="0.3">
      <c r="A196" s="1" t="s">
        <v>698</v>
      </c>
      <c r="B196" s="1" t="s">
        <v>699</v>
      </c>
      <c r="C196" s="1" t="s">
        <v>700</v>
      </c>
      <c r="D196" s="3">
        <v>299</v>
      </c>
      <c r="E196" s="2">
        <v>144</v>
      </c>
      <c r="F196" s="4">
        <v>0.51</v>
      </c>
      <c r="G196">
        <v>3.3</v>
      </c>
      <c r="H196" s="1" t="s">
        <v>29</v>
      </c>
      <c r="I196" s="1" t="s">
        <v>1173</v>
      </c>
      <c r="J196" s="1" t="s">
        <v>1179</v>
      </c>
      <c r="K196" s="1" t="s">
        <v>88</v>
      </c>
      <c r="L196" s="1" t="s">
        <v>21</v>
      </c>
      <c r="M196" s="2">
        <f t="shared" si="6"/>
        <v>443</v>
      </c>
      <c r="N196" s="5">
        <f t="shared" si="7"/>
        <v>0.87</v>
      </c>
      <c r="O196" s="17" t="s">
        <v>1209</v>
      </c>
    </row>
    <row r="197" spans="1:15" ht="18.75" x14ac:dyDescent="0.3">
      <c r="A197" s="1" t="s">
        <v>701</v>
      </c>
      <c r="B197" s="1" t="s">
        <v>702</v>
      </c>
      <c r="C197" s="1" t="s">
        <v>703</v>
      </c>
      <c r="D197" s="3">
        <v>299</v>
      </c>
      <c r="E197" s="2">
        <v>176</v>
      </c>
      <c r="F197" s="4">
        <v>0.41</v>
      </c>
      <c r="G197">
        <v>3.7</v>
      </c>
      <c r="H197" s="1" t="s">
        <v>17</v>
      </c>
      <c r="I197" s="1" t="s">
        <v>1173</v>
      </c>
      <c r="J197" s="1" t="s">
        <v>1180</v>
      </c>
      <c r="K197" s="1" t="s">
        <v>55</v>
      </c>
      <c r="L197" s="1" t="s">
        <v>21</v>
      </c>
      <c r="M197" s="2">
        <f t="shared" si="6"/>
        <v>475</v>
      </c>
      <c r="N197" s="5">
        <f t="shared" si="7"/>
        <v>0.87</v>
      </c>
      <c r="O197" s="17" t="s">
        <v>1208</v>
      </c>
    </row>
    <row r="198" spans="1:15" ht="18.75" x14ac:dyDescent="0.3">
      <c r="A198" s="1" t="s">
        <v>705</v>
      </c>
      <c r="B198" s="1" t="s">
        <v>706</v>
      </c>
      <c r="C198" s="1" t="s">
        <v>707</v>
      </c>
      <c r="D198" s="3">
        <v>1500</v>
      </c>
      <c r="E198" s="2">
        <v>994</v>
      </c>
      <c r="F198" s="4">
        <v>0.33</v>
      </c>
      <c r="G198">
        <v>3.6</v>
      </c>
      <c r="H198" s="1" t="s">
        <v>29</v>
      </c>
      <c r="I198" s="1" t="s">
        <v>1169</v>
      </c>
      <c r="J198" s="1" t="s">
        <v>1180</v>
      </c>
      <c r="K198" s="1" t="s">
        <v>709</v>
      </c>
      <c r="L198" s="1" t="s">
        <v>21</v>
      </c>
      <c r="M198" s="2">
        <f t="shared" si="6"/>
        <v>2494</v>
      </c>
      <c r="N198" s="5">
        <f t="shared" si="7"/>
        <v>0.87</v>
      </c>
      <c r="O198" s="17" t="s">
        <v>1209</v>
      </c>
    </row>
    <row r="199" spans="1:15" ht="18.75" x14ac:dyDescent="0.3">
      <c r="A199" s="1" t="s">
        <v>710</v>
      </c>
      <c r="B199" s="1" t="s">
        <v>711</v>
      </c>
      <c r="C199" s="1" t="s">
        <v>712</v>
      </c>
      <c r="D199" s="3">
        <v>399</v>
      </c>
      <c r="E199" s="2">
        <v>182</v>
      </c>
      <c r="F199" s="4">
        <v>0.54</v>
      </c>
      <c r="G199">
        <v>4</v>
      </c>
      <c r="H199" s="1" t="s">
        <v>17</v>
      </c>
      <c r="I199" s="1" t="s">
        <v>1174</v>
      </c>
      <c r="J199" s="1" t="s">
        <v>1179</v>
      </c>
      <c r="K199" s="1" t="s">
        <v>713</v>
      </c>
      <c r="L199" s="1" t="s">
        <v>21</v>
      </c>
      <c r="M199" s="2">
        <f t="shared" si="6"/>
        <v>581</v>
      </c>
      <c r="N199" s="5">
        <f t="shared" si="7"/>
        <v>0.87</v>
      </c>
      <c r="O199" s="17" t="s">
        <v>1209</v>
      </c>
    </row>
    <row r="200" spans="1:15" ht="18.75" x14ac:dyDescent="0.3">
      <c r="A200" s="1" t="s">
        <v>714</v>
      </c>
      <c r="B200" s="1" t="s">
        <v>78</v>
      </c>
      <c r="C200" s="1" t="s">
        <v>79</v>
      </c>
      <c r="D200" s="3">
        <v>495</v>
      </c>
      <c r="E200" s="2">
        <v>331</v>
      </c>
      <c r="F200" s="4">
        <v>0.33</v>
      </c>
      <c r="G200">
        <v>4.0999999999999996</v>
      </c>
      <c r="H200" s="1" t="s">
        <v>29</v>
      </c>
      <c r="I200" s="1" t="s">
        <v>1169</v>
      </c>
      <c r="J200" s="1" t="s">
        <v>1178</v>
      </c>
      <c r="K200" s="1" t="s">
        <v>41</v>
      </c>
      <c r="L200" s="1" t="s">
        <v>21</v>
      </c>
      <c r="M200" s="2">
        <f t="shared" si="6"/>
        <v>826</v>
      </c>
      <c r="N200" s="5">
        <f t="shared" si="7"/>
        <v>0.87</v>
      </c>
      <c r="O200" s="17" t="s">
        <v>1209</v>
      </c>
    </row>
    <row r="201" spans="1:15" ht="18.75" x14ac:dyDescent="0.3">
      <c r="A201" s="1" t="s">
        <v>715</v>
      </c>
      <c r="B201" s="1" t="s">
        <v>78</v>
      </c>
      <c r="C201" s="1" t="s">
        <v>214</v>
      </c>
      <c r="D201" s="3">
        <v>349</v>
      </c>
      <c r="E201" s="2">
        <v>325</v>
      </c>
      <c r="F201" s="4">
        <v>0.06</v>
      </c>
      <c r="G201">
        <v>4</v>
      </c>
      <c r="H201" s="1" t="s">
        <v>29</v>
      </c>
      <c r="I201" s="1" t="s">
        <v>1169</v>
      </c>
      <c r="J201" s="1" t="s">
        <v>1178</v>
      </c>
      <c r="K201" s="1" t="s">
        <v>41</v>
      </c>
      <c r="L201" s="1" t="s">
        <v>21</v>
      </c>
      <c r="M201" s="2">
        <f t="shared" si="6"/>
        <v>674</v>
      </c>
      <c r="N201" s="5">
        <f t="shared" si="7"/>
        <v>0.87</v>
      </c>
      <c r="O201" s="17" t="s">
        <v>1208</v>
      </c>
    </row>
    <row r="202" spans="1:15" ht="18.75" x14ac:dyDescent="0.3">
      <c r="A202" s="1" t="s">
        <v>716</v>
      </c>
      <c r="B202" s="1" t="s">
        <v>717</v>
      </c>
      <c r="C202" s="1" t="s">
        <v>718</v>
      </c>
      <c r="D202" s="3">
        <v>369</v>
      </c>
      <c r="E202" s="2">
        <v>132</v>
      </c>
      <c r="F202" s="4">
        <v>0.64</v>
      </c>
      <c r="G202">
        <v>3.5</v>
      </c>
      <c r="H202" s="1" t="s">
        <v>29</v>
      </c>
      <c r="I202" s="1" t="s">
        <v>1173</v>
      </c>
      <c r="J202" s="1" t="s">
        <v>1177</v>
      </c>
      <c r="K202" s="1" t="s">
        <v>258</v>
      </c>
      <c r="L202" s="1" t="s">
        <v>21</v>
      </c>
      <c r="M202" s="2">
        <f t="shared" si="6"/>
        <v>501</v>
      </c>
      <c r="N202" s="5">
        <f t="shared" si="7"/>
        <v>0.87</v>
      </c>
      <c r="O202" s="17" t="s">
        <v>1209</v>
      </c>
    </row>
    <row r="203" spans="1:15" ht="18.75" x14ac:dyDescent="0.3">
      <c r="A203" s="1" t="s">
        <v>719</v>
      </c>
      <c r="B203" s="1" t="s">
        <v>720</v>
      </c>
      <c r="C203" s="1" t="s">
        <v>721</v>
      </c>
      <c r="D203" s="3">
        <v>1000</v>
      </c>
      <c r="E203" s="2">
        <v>179</v>
      </c>
      <c r="F203" s="4">
        <v>0.82</v>
      </c>
      <c r="G203">
        <v>4</v>
      </c>
      <c r="H203" s="1" t="s">
        <v>29</v>
      </c>
      <c r="I203" s="1" t="s">
        <v>1169</v>
      </c>
      <c r="J203" s="1" t="s">
        <v>1180</v>
      </c>
      <c r="K203" s="1" t="s">
        <v>504</v>
      </c>
      <c r="L203" s="1" t="s">
        <v>21</v>
      </c>
      <c r="M203" s="2">
        <f t="shared" si="6"/>
        <v>1179</v>
      </c>
      <c r="N203" s="5">
        <f t="shared" si="7"/>
        <v>0.87</v>
      </c>
      <c r="O203" s="17" t="s">
        <v>1209</v>
      </c>
    </row>
    <row r="204" spans="1:15" ht="18.75" x14ac:dyDescent="0.3">
      <c r="A204" s="1" t="s">
        <v>723</v>
      </c>
      <c r="B204" s="1" t="s">
        <v>33</v>
      </c>
      <c r="C204" s="1" t="s">
        <v>34</v>
      </c>
      <c r="D204" s="3">
        <v>449</v>
      </c>
      <c r="E204" s="2">
        <v>384</v>
      </c>
      <c r="F204" s="4">
        <v>0.14000000000000001</v>
      </c>
      <c r="G204">
        <v>4.4000000000000004</v>
      </c>
      <c r="H204" s="1" t="s">
        <v>29</v>
      </c>
      <c r="I204" s="1" t="s">
        <v>1167</v>
      </c>
      <c r="J204" s="1" t="s">
        <v>1178</v>
      </c>
      <c r="K204" s="1" t="s">
        <v>41</v>
      </c>
      <c r="L204" s="1" t="s">
        <v>21</v>
      </c>
      <c r="M204" s="2">
        <f t="shared" si="6"/>
        <v>833</v>
      </c>
      <c r="N204" s="5">
        <f t="shared" si="7"/>
        <v>0.87</v>
      </c>
      <c r="O204" s="17" t="s">
        <v>1208</v>
      </c>
    </row>
    <row r="205" spans="1:15" ht="18.75" x14ac:dyDescent="0.3">
      <c r="A205" s="1" t="s">
        <v>724</v>
      </c>
      <c r="B205" s="1" t="s">
        <v>43</v>
      </c>
      <c r="C205" s="1" t="s">
        <v>44</v>
      </c>
      <c r="D205" s="3">
        <v>449</v>
      </c>
      <c r="E205" s="2">
        <v>349</v>
      </c>
      <c r="F205" s="4">
        <v>0.22</v>
      </c>
      <c r="G205">
        <v>4.3</v>
      </c>
      <c r="H205" s="1" t="s">
        <v>29</v>
      </c>
      <c r="I205" s="1" t="s">
        <v>1167</v>
      </c>
      <c r="J205" s="1" t="s">
        <v>1178</v>
      </c>
      <c r="K205" s="1" t="s">
        <v>41</v>
      </c>
      <c r="L205" s="1" t="s">
        <v>21</v>
      </c>
      <c r="M205" s="2">
        <f t="shared" si="6"/>
        <v>798</v>
      </c>
      <c r="N205" s="5">
        <f t="shared" si="7"/>
        <v>0.87</v>
      </c>
      <c r="O205" s="17" t="s">
        <v>1208</v>
      </c>
    </row>
    <row r="206" spans="1:15" ht="18.75" x14ac:dyDescent="0.3">
      <c r="A206" s="1" t="s">
        <v>725</v>
      </c>
      <c r="B206" s="1" t="s">
        <v>726</v>
      </c>
      <c r="C206" s="1" t="s">
        <v>727</v>
      </c>
      <c r="D206" s="3">
        <v>999</v>
      </c>
      <c r="E206" s="2">
        <v>270</v>
      </c>
      <c r="F206" s="4">
        <v>0.72</v>
      </c>
      <c r="G206">
        <v>4</v>
      </c>
      <c r="H206" s="1" t="s">
        <v>29</v>
      </c>
      <c r="I206" s="1" t="s">
        <v>1173</v>
      </c>
      <c r="J206" s="1" t="s">
        <v>1179</v>
      </c>
      <c r="K206" s="1" t="s">
        <v>118</v>
      </c>
      <c r="L206" s="1" t="s">
        <v>21</v>
      </c>
      <c r="M206" s="2">
        <f t="shared" si="6"/>
        <v>1269</v>
      </c>
      <c r="N206" s="5">
        <f t="shared" si="7"/>
        <v>0.87</v>
      </c>
      <c r="O206" s="17" t="s">
        <v>1209</v>
      </c>
    </row>
    <row r="207" spans="1:15" ht="18.75" x14ac:dyDescent="0.3">
      <c r="A207" s="1" t="s">
        <v>729</v>
      </c>
      <c r="B207" s="1" t="s">
        <v>730</v>
      </c>
      <c r="C207" s="1" t="s">
        <v>731</v>
      </c>
      <c r="D207" s="3">
        <v>499</v>
      </c>
      <c r="E207" s="2">
        <v>157</v>
      </c>
      <c r="F207" s="4">
        <v>0.68</v>
      </c>
      <c r="G207">
        <v>3.6</v>
      </c>
      <c r="H207" s="1" t="s">
        <v>17</v>
      </c>
      <c r="I207" s="1" t="s">
        <v>1173</v>
      </c>
      <c r="J207" s="1" t="s">
        <v>1177</v>
      </c>
      <c r="K207" s="1" t="s">
        <v>55</v>
      </c>
      <c r="L207" s="1" t="s">
        <v>21</v>
      </c>
      <c r="M207" s="2">
        <f t="shared" si="6"/>
        <v>656</v>
      </c>
      <c r="N207" s="5">
        <f t="shared" si="7"/>
        <v>0.87</v>
      </c>
      <c r="O207" s="17" t="s">
        <v>1208</v>
      </c>
    </row>
    <row r="208" spans="1:15" ht="18.75" x14ac:dyDescent="0.3">
      <c r="A208" s="1" t="s">
        <v>733</v>
      </c>
      <c r="B208" s="1" t="s">
        <v>734</v>
      </c>
      <c r="C208" s="1" t="s">
        <v>735</v>
      </c>
      <c r="D208" s="3">
        <v>370</v>
      </c>
      <c r="E208" s="2">
        <v>193</v>
      </c>
      <c r="F208" s="4">
        <v>0.47</v>
      </c>
      <c r="G208">
        <v>3.1</v>
      </c>
      <c r="H208" s="1" t="s">
        <v>29</v>
      </c>
      <c r="I208" s="1" t="s">
        <v>1173</v>
      </c>
      <c r="J208" s="1" t="s">
        <v>1179</v>
      </c>
      <c r="K208" s="1" t="s">
        <v>169</v>
      </c>
      <c r="L208" s="1" t="s">
        <v>21</v>
      </c>
      <c r="M208" s="2">
        <f t="shared" si="6"/>
        <v>563</v>
      </c>
      <c r="N208" s="5">
        <f t="shared" si="7"/>
        <v>0.87</v>
      </c>
      <c r="O208" s="17" t="s">
        <v>1209</v>
      </c>
    </row>
    <row r="209" spans="1:15" ht="18.75" x14ac:dyDescent="0.3">
      <c r="A209" s="1" t="s">
        <v>736</v>
      </c>
      <c r="B209" s="1" t="s">
        <v>737</v>
      </c>
      <c r="C209" s="1" t="s">
        <v>738</v>
      </c>
      <c r="D209" s="3">
        <v>399</v>
      </c>
      <c r="E209" s="2">
        <v>199</v>
      </c>
      <c r="F209" s="4">
        <v>0.5</v>
      </c>
      <c r="G209">
        <v>1</v>
      </c>
      <c r="H209" s="1" t="s">
        <v>17</v>
      </c>
      <c r="I209" s="1" t="s">
        <v>1174</v>
      </c>
      <c r="J209" s="1" t="s">
        <v>1180</v>
      </c>
      <c r="K209" s="1" t="s">
        <v>345</v>
      </c>
      <c r="L209" s="1" t="s">
        <v>21</v>
      </c>
      <c r="M209" s="2">
        <f t="shared" si="6"/>
        <v>598</v>
      </c>
      <c r="N209" s="5">
        <f t="shared" si="7"/>
        <v>0.87</v>
      </c>
      <c r="O209" s="17" t="s">
        <v>1208</v>
      </c>
    </row>
    <row r="210" spans="1:15" ht="18.75" x14ac:dyDescent="0.3">
      <c r="A210" s="1" t="s">
        <v>739</v>
      </c>
      <c r="B210" s="1" t="s">
        <v>33</v>
      </c>
      <c r="C210" s="1" t="s">
        <v>34</v>
      </c>
      <c r="D210" s="3">
        <v>449</v>
      </c>
      <c r="E210" s="2">
        <v>384</v>
      </c>
      <c r="F210" s="4">
        <v>0.14000000000000001</v>
      </c>
      <c r="G210">
        <v>4.4000000000000004</v>
      </c>
      <c r="H210" s="1" t="s">
        <v>29</v>
      </c>
      <c r="I210" s="1" t="s">
        <v>1167</v>
      </c>
      <c r="J210" s="1" t="s">
        <v>1178</v>
      </c>
      <c r="K210" s="1" t="s">
        <v>41</v>
      </c>
      <c r="L210" s="1" t="s">
        <v>21</v>
      </c>
      <c r="M210" s="2">
        <f t="shared" si="6"/>
        <v>833</v>
      </c>
      <c r="N210" s="5">
        <f t="shared" si="7"/>
        <v>0.87</v>
      </c>
      <c r="O210" s="17" t="s">
        <v>1208</v>
      </c>
    </row>
    <row r="211" spans="1:15" ht="18.75" x14ac:dyDescent="0.3">
      <c r="A211" s="1" t="s">
        <v>740</v>
      </c>
      <c r="B211" s="1" t="s">
        <v>78</v>
      </c>
      <c r="C211" s="1" t="s">
        <v>79</v>
      </c>
      <c r="D211" s="3">
        <v>499</v>
      </c>
      <c r="E211" s="2">
        <v>335</v>
      </c>
      <c r="F211" s="4">
        <v>0.32</v>
      </c>
      <c r="G211">
        <v>4</v>
      </c>
      <c r="H211" s="1" t="s">
        <v>29</v>
      </c>
      <c r="I211" s="1" t="s">
        <v>1169</v>
      </c>
      <c r="J211" s="1" t="s">
        <v>1178</v>
      </c>
      <c r="K211" s="1" t="s">
        <v>41</v>
      </c>
      <c r="L211" s="1" t="s">
        <v>21</v>
      </c>
      <c r="M211" s="2">
        <f t="shared" si="6"/>
        <v>834</v>
      </c>
      <c r="N211" s="5">
        <f t="shared" si="7"/>
        <v>0.87</v>
      </c>
      <c r="O211" s="17" t="s">
        <v>1209</v>
      </c>
    </row>
    <row r="212" spans="1:15" ht="18.75" x14ac:dyDescent="0.3">
      <c r="A212" s="1" t="s">
        <v>741</v>
      </c>
      <c r="B212" s="1" t="s">
        <v>726</v>
      </c>
      <c r="C212" s="1" t="s">
        <v>727</v>
      </c>
      <c r="D212" s="3">
        <v>999</v>
      </c>
      <c r="E212" s="2">
        <v>220</v>
      </c>
      <c r="F212" s="4">
        <v>0.77</v>
      </c>
      <c r="G212">
        <v>4</v>
      </c>
      <c r="H212" s="1" t="s">
        <v>29</v>
      </c>
      <c r="I212" s="1" t="s">
        <v>1173</v>
      </c>
      <c r="J212" s="1" t="s">
        <v>1179</v>
      </c>
      <c r="K212" s="1" t="s">
        <v>743</v>
      </c>
      <c r="L212" s="1" t="s">
        <v>21</v>
      </c>
      <c r="M212" s="2">
        <f t="shared" si="6"/>
        <v>1219</v>
      </c>
      <c r="N212" s="5">
        <f t="shared" si="7"/>
        <v>0.87</v>
      </c>
      <c r="O212" s="17" t="s">
        <v>1208</v>
      </c>
    </row>
    <row r="213" spans="1:15" ht="18.75" x14ac:dyDescent="0.3">
      <c r="A213" s="1" t="s">
        <v>744</v>
      </c>
      <c r="B213" s="1" t="s">
        <v>745</v>
      </c>
      <c r="C213" s="1" t="s">
        <v>746</v>
      </c>
      <c r="D213" s="3">
        <v>399</v>
      </c>
      <c r="E213" s="2">
        <v>140</v>
      </c>
      <c r="F213" s="4">
        <v>0.64</v>
      </c>
      <c r="G213">
        <v>3.6</v>
      </c>
      <c r="H213" s="1" t="s">
        <v>29</v>
      </c>
      <c r="I213" s="1" t="s">
        <v>1173</v>
      </c>
      <c r="J213" s="1" t="s">
        <v>1180</v>
      </c>
      <c r="K213" s="1" t="s">
        <v>20</v>
      </c>
      <c r="L213" s="1" t="s">
        <v>21</v>
      </c>
      <c r="M213" s="2">
        <f t="shared" si="6"/>
        <v>539</v>
      </c>
      <c r="N213" s="5">
        <f t="shared" si="7"/>
        <v>0.87</v>
      </c>
      <c r="O213" s="17" t="s">
        <v>1208</v>
      </c>
    </row>
    <row r="214" spans="1:15" ht="18.75" x14ac:dyDescent="0.3">
      <c r="A214" s="1" t="s">
        <v>747</v>
      </c>
      <c r="B214" s="1" t="s">
        <v>78</v>
      </c>
      <c r="C214" s="1" t="s">
        <v>79</v>
      </c>
      <c r="D214" s="3">
        <v>749</v>
      </c>
      <c r="E214" s="2">
        <v>516</v>
      </c>
      <c r="F214" s="4">
        <v>0.31</v>
      </c>
      <c r="G214">
        <v>3.6</v>
      </c>
      <c r="H214" s="1" t="s">
        <v>29</v>
      </c>
      <c r="I214" s="1" t="s">
        <v>1169</v>
      </c>
      <c r="J214" s="1" t="s">
        <v>1178</v>
      </c>
      <c r="K214" s="1" t="s">
        <v>41</v>
      </c>
      <c r="L214" s="1" t="s">
        <v>21</v>
      </c>
      <c r="M214" s="2">
        <f t="shared" si="6"/>
        <v>1265</v>
      </c>
      <c r="N214" s="5">
        <f t="shared" si="7"/>
        <v>0.87</v>
      </c>
      <c r="O214" s="17" t="s">
        <v>1209</v>
      </c>
    </row>
    <row r="215" spans="1:15" ht="18.75" x14ac:dyDescent="0.3">
      <c r="A215" s="1" t="s">
        <v>748</v>
      </c>
      <c r="B215" s="1" t="s">
        <v>101</v>
      </c>
      <c r="C215" s="1" t="s">
        <v>102</v>
      </c>
      <c r="D215" s="3">
        <v>549</v>
      </c>
      <c r="E215" s="2">
        <v>388</v>
      </c>
      <c r="F215" s="4">
        <v>0.28999999999999998</v>
      </c>
      <c r="G215">
        <v>4.3</v>
      </c>
      <c r="H215" s="1" t="s">
        <v>29</v>
      </c>
      <c r="I215" s="1" t="s">
        <v>1171</v>
      </c>
      <c r="J215" s="1" t="s">
        <v>1178</v>
      </c>
      <c r="K215" s="1" t="s">
        <v>41</v>
      </c>
      <c r="L215" s="1" t="s">
        <v>21</v>
      </c>
      <c r="M215" s="2">
        <f t="shared" si="6"/>
        <v>937</v>
      </c>
      <c r="N215" s="5">
        <f t="shared" si="7"/>
        <v>0.87</v>
      </c>
      <c r="O215" s="17" t="s">
        <v>1208</v>
      </c>
    </row>
    <row r="216" spans="1:15" ht="18.75" x14ac:dyDescent="0.3">
      <c r="A216" s="1" t="s">
        <v>749</v>
      </c>
      <c r="B216" s="1" t="s">
        <v>750</v>
      </c>
      <c r="C216" s="1" t="s">
        <v>751</v>
      </c>
      <c r="D216" s="3">
        <v>270</v>
      </c>
      <c r="E216" s="2">
        <v>140</v>
      </c>
      <c r="F216" s="4">
        <v>0.48</v>
      </c>
      <c r="G216">
        <v>3.7</v>
      </c>
      <c r="H216" s="1" t="s">
        <v>29</v>
      </c>
      <c r="I216" s="1" t="s">
        <v>1174</v>
      </c>
      <c r="J216" s="1" t="s">
        <v>1180</v>
      </c>
      <c r="K216" s="1" t="s">
        <v>169</v>
      </c>
      <c r="L216" s="1" t="s">
        <v>21</v>
      </c>
      <c r="M216" s="2">
        <f t="shared" si="6"/>
        <v>410</v>
      </c>
      <c r="N216" s="5">
        <f t="shared" si="7"/>
        <v>0.87</v>
      </c>
      <c r="O216" s="17" t="s">
        <v>1208</v>
      </c>
    </row>
    <row r="217" spans="1:15" ht="18.75" x14ac:dyDescent="0.3">
      <c r="A217" s="1" t="s">
        <v>752</v>
      </c>
      <c r="B217" s="1" t="s">
        <v>753</v>
      </c>
      <c r="C217" s="1" t="s">
        <v>754</v>
      </c>
      <c r="D217" s="3">
        <v>499</v>
      </c>
      <c r="E217" s="2">
        <v>137</v>
      </c>
      <c r="F217" s="4">
        <v>0.72</v>
      </c>
      <c r="G217">
        <v>3.5</v>
      </c>
      <c r="H217" s="1" t="s">
        <v>29</v>
      </c>
      <c r="I217" s="1" t="s">
        <v>1168</v>
      </c>
      <c r="J217" s="1" t="s">
        <v>1180</v>
      </c>
      <c r="K217" s="1" t="s">
        <v>55</v>
      </c>
      <c r="L217" s="1" t="s">
        <v>21</v>
      </c>
      <c r="M217" s="2">
        <f t="shared" si="6"/>
        <v>636</v>
      </c>
      <c r="N217" s="5">
        <f t="shared" si="7"/>
        <v>0.87</v>
      </c>
      <c r="O217" s="17" t="s">
        <v>1208</v>
      </c>
    </row>
    <row r="218" spans="1:15" ht="18.75" x14ac:dyDescent="0.3">
      <c r="A218" s="1" t="s">
        <v>755</v>
      </c>
      <c r="B218" s="1" t="s">
        <v>756</v>
      </c>
      <c r="C218" s="1" t="s">
        <v>757</v>
      </c>
      <c r="D218" s="3">
        <v>595</v>
      </c>
      <c r="E218" s="2">
        <v>198</v>
      </c>
      <c r="F218" s="4">
        <v>0.66</v>
      </c>
      <c r="G218">
        <v>3.1</v>
      </c>
      <c r="H218" s="1" t="s">
        <v>29</v>
      </c>
      <c r="I218" s="1" t="s">
        <v>1173</v>
      </c>
      <c r="J218" s="1" t="s">
        <v>1180</v>
      </c>
      <c r="K218" s="1" t="s">
        <v>504</v>
      </c>
      <c r="L218" s="1" t="s">
        <v>21</v>
      </c>
      <c r="M218" s="2">
        <f t="shared" si="6"/>
        <v>793</v>
      </c>
      <c r="N218" s="5">
        <f t="shared" si="7"/>
        <v>0.87</v>
      </c>
      <c r="O218" s="17" t="s">
        <v>1208</v>
      </c>
    </row>
    <row r="219" spans="1:15" ht="18.75" x14ac:dyDescent="0.3">
      <c r="A219" s="1" t="s">
        <v>759</v>
      </c>
      <c r="B219" s="1" t="s">
        <v>760</v>
      </c>
      <c r="C219" s="1" t="s">
        <v>761</v>
      </c>
      <c r="D219" s="3">
        <v>999</v>
      </c>
      <c r="E219" s="2">
        <v>222</v>
      </c>
      <c r="F219" s="4">
        <v>0.77</v>
      </c>
      <c r="G219">
        <v>4.3</v>
      </c>
      <c r="H219" s="1" t="s">
        <v>17</v>
      </c>
      <c r="I219" s="1" t="s">
        <v>1169</v>
      </c>
      <c r="J219" s="1" t="s">
        <v>1180</v>
      </c>
      <c r="K219" s="1" t="s">
        <v>763</v>
      </c>
      <c r="L219" s="1" t="s">
        <v>21</v>
      </c>
      <c r="M219" s="2">
        <f t="shared" si="6"/>
        <v>1221</v>
      </c>
      <c r="N219" s="5">
        <f t="shared" si="7"/>
        <v>0.87</v>
      </c>
      <c r="O219" s="17" t="s">
        <v>1209</v>
      </c>
    </row>
    <row r="220" spans="1:15" ht="18.75" x14ac:dyDescent="0.3">
      <c r="A220" s="1" t="s">
        <v>764</v>
      </c>
      <c r="B220" s="1" t="s">
        <v>43</v>
      </c>
      <c r="C220" s="1" t="s">
        <v>44</v>
      </c>
      <c r="D220" s="3">
        <v>449</v>
      </c>
      <c r="E220" s="2">
        <v>349</v>
      </c>
      <c r="F220" s="4">
        <v>0.22</v>
      </c>
      <c r="G220">
        <v>4.3</v>
      </c>
      <c r="H220" s="1" t="s">
        <v>29</v>
      </c>
      <c r="I220" s="1" t="s">
        <v>1167</v>
      </c>
      <c r="J220" s="1" t="s">
        <v>1178</v>
      </c>
      <c r="K220" s="1" t="s">
        <v>41</v>
      </c>
      <c r="L220" s="1" t="s">
        <v>21</v>
      </c>
      <c r="M220" s="2">
        <f t="shared" si="6"/>
        <v>798</v>
      </c>
      <c r="N220" s="5">
        <f t="shared" si="7"/>
        <v>0.87</v>
      </c>
      <c r="O220" s="17" t="s">
        <v>1209</v>
      </c>
    </row>
    <row r="221" spans="1:15" ht="18.75" x14ac:dyDescent="0.3">
      <c r="A221" s="1" t="s">
        <v>765</v>
      </c>
      <c r="B221" s="1" t="s">
        <v>43</v>
      </c>
      <c r="C221" s="1" t="s">
        <v>44</v>
      </c>
      <c r="D221" s="3">
        <v>449</v>
      </c>
      <c r="E221" s="2">
        <v>349</v>
      </c>
      <c r="F221" s="4">
        <v>0.22</v>
      </c>
      <c r="G221">
        <v>4.3</v>
      </c>
      <c r="H221" s="1" t="s">
        <v>29</v>
      </c>
      <c r="I221" s="1" t="s">
        <v>1167</v>
      </c>
      <c r="J221" s="1" t="s">
        <v>1178</v>
      </c>
      <c r="K221" s="1" t="s">
        <v>41</v>
      </c>
      <c r="L221" s="1" t="s">
        <v>21</v>
      </c>
      <c r="M221" s="2">
        <f t="shared" si="6"/>
        <v>798</v>
      </c>
      <c r="N221" s="5">
        <f t="shared" si="7"/>
        <v>0.87</v>
      </c>
      <c r="O221" s="17" t="s">
        <v>1209</v>
      </c>
    </row>
    <row r="222" spans="1:15" ht="18.75" x14ac:dyDescent="0.3">
      <c r="A222" s="1" t="s">
        <v>766</v>
      </c>
      <c r="B222" s="1" t="s">
        <v>767</v>
      </c>
      <c r="C222" s="1" t="s">
        <v>768</v>
      </c>
      <c r="D222" s="3">
        <v>999</v>
      </c>
      <c r="E222" s="2">
        <v>283</v>
      </c>
      <c r="F222" s="4">
        <v>0.71</v>
      </c>
      <c r="G222">
        <v>4</v>
      </c>
      <c r="H222" s="1" t="s">
        <v>29</v>
      </c>
      <c r="I222" s="1" t="s">
        <v>1174</v>
      </c>
      <c r="J222" s="1" t="s">
        <v>1179</v>
      </c>
      <c r="K222" s="1" t="s">
        <v>770</v>
      </c>
      <c r="L222" s="1" t="s">
        <v>21</v>
      </c>
      <c r="M222" s="2">
        <f t="shared" si="6"/>
        <v>1282</v>
      </c>
      <c r="N222" s="5">
        <f t="shared" si="7"/>
        <v>0.87</v>
      </c>
      <c r="O222" s="17" t="s">
        <v>1209</v>
      </c>
    </row>
    <row r="223" spans="1:15" ht="18.75" x14ac:dyDescent="0.3">
      <c r="A223" s="1" t="s">
        <v>771</v>
      </c>
      <c r="B223" s="1" t="s">
        <v>772</v>
      </c>
      <c r="C223" s="1" t="s">
        <v>773</v>
      </c>
      <c r="D223" s="3">
        <v>599</v>
      </c>
      <c r="E223" s="2">
        <v>179</v>
      </c>
      <c r="F223" s="4">
        <v>0.7</v>
      </c>
      <c r="G223">
        <v>3.9</v>
      </c>
      <c r="H223" s="1" t="s">
        <v>29</v>
      </c>
      <c r="I223" s="1" t="s">
        <v>1173</v>
      </c>
      <c r="J223" s="1" t="s">
        <v>1180</v>
      </c>
      <c r="K223" s="1" t="s">
        <v>338</v>
      </c>
      <c r="L223" s="1" t="s">
        <v>21</v>
      </c>
      <c r="M223" s="2">
        <f t="shared" si="6"/>
        <v>778</v>
      </c>
      <c r="N223" s="5">
        <f t="shared" si="7"/>
        <v>0.87</v>
      </c>
      <c r="O223" s="17" t="s">
        <v>1208</v>
      </c>
    </row>
    <row r="224" spans="1:15" ht="18.75" x14ac:dyDescent="0.3">
      <c r="A224" s="1" t="s">
        <v>774</v>
      </c>
      <c r="B224" s="1" t="s">
        <v>78</v>
      </c>
      <c r="C224" s="1" t="s">
        <v>79</v>
      </c>
      <c r="D224" s="3">
        <v>499</v>
      </c>
      <c r="E224" s="2">
        <v>424</v>
      </c>
      <c r="F224" s="4">
        <v>0.15</v>
      </c>
      <c r="G224">
        <v>4.3</v>
      </c>
      <c r="H224" s="1" t="s">
        <v>29</v>
      </c>
      <c r="I224" s="1" t="s">
        <v>1169</v>
      </c>
      <c r="J224" s="1" t="s">
        <v>1178</v>
      </c>
      <c r="K224" s="1" t="s">
        <v>41</v>
      </c>
      <c r="L224" s="1" t="s">
        <v>21</v>
      </c>
      <c r="M224" s="2">
        <f t="shared" si="6"/>
        <v>923</v>
      </c>
      <c r="N224" s="5">
        <f t="shared" si="7"/>
        <v>0.87</v>
      </c>
      <c r="O224" s="17" t="s">
        <v>1209</v>
      </c>
    </row>
    <row r="225" spans="1:15" ht="18.75" x14ac:dyDescent="0.3">
      <c r="A225" s="1" t="s">
        <v>775</v>
      </c>
      <c r="B225" s="1" t="s">
        <v>33</v>
      </c>
      <c r="C225" s="1" t="s">
        <v>34</v>
      </c>
      <c r="D225" s="3">
        <v>449</v>
      </c>
      <c r="E225" s="2">
        <v>359</v>
      </c>
      <c r="F225" s="4">
        <v>0.2</v>
      </c>
      <c r="G225">
        <v>4.4000000000000004</v>
      </c>
      <c r="H225" s="1" t="s">
        <v>29</v>
      </c>
      <c r="I225" s="1" t="s">
        <v>1167</v>
      </c>
      <c r="J225" s="1" t="s">
        <v>1178</v>
      </c>
      <c r="K225" s="1" t="s">
        <v>41</v>
      </c>
      <c r="L225" s="1" t="s">
        <v>21</v>
      </c>
      <c r="M225" s="2">
        <f t="shared" si="6"/>
        <v>808</v>
      </c>
      <c r="N225" s="5">
        <f t="shared" si="7"/>
        <v>0.87</v>
      </c>
      <c r="O225" s="17" t="s">
        <v>1209</v>
      </c>
    </row>
    <row r="226" spans="1:15" ht="18.75" x14ac:dyDescent="0.3">
      <c r="A226" s="1" t="s">
        <v>776</v>
      </c>
      <c r="B226" s="1" t="s">
        <v>777</v>
      </c>
      <c r="C226" s="1" t="s">
        <v>778</v>
      </c>
      <c r="D226" s="3">
        <v>499</v>
      </c>
      <c r="E226" s="2">
        <v>135</v>
      </c>
      <c r="F226" s="4">
        <v>0.72</v>
      </c>
      <c r="G226">
        <v>3.2</v>
      </c>
      <c r="H226" s="1" t="s">
        <v>29</v>
      </c>
      <c r="I226" s="1" t="s">
        <v>1173</v>
      </c>
      <c r="J226" s="1" t="s">
        <v>1180</v>
      </c>
      <c r="K226" s="1" t="s">
        <v>779</v>
      </c>
      <c r="L226" s="1" t="s">
        <v>21</v>
      </c>
      <c r="M226" s="2">
        <f t="shared" si="6"/>
        <v>634</v>
      </c>
      <c r="N226" s="5">
        <f t="shared" si="7"/>
        <v>0.87</v>
      </c>
      <c r="O226" s="17" t="s">
        <v>1208</v>
      </c>
    </row>
    <row r="227" spans="1:15" ht="18.75" x14ac:dyDescent="0.3">
      <c r="A227" s="1" t="s">
        <v>780</v>
      </c>
      <c r="B227" s="1" t="s">
        <v>781</v>
      </c>
      <c r="C227" s="1" t="s">
        <v>782</v>
      </c>
      <c r="D227" s="3">
        <v>699</v>
      </c>
      <c r="E227" s="2">
        <v>212</v>
      </c>
      <c r="F227" s="4">
        <v>0.69</v>
      </c>
      <c r="G227">
        <v>4</v>
      </c>
      <c r="H227" s="1" t="s">
        <v>17</v>
      </c>
      <c r="I227" s="1" t="s">
        <v>1170</v>
      </c>
      <c r="J227" s="1" t="s">
        <v>1179</v>
      </c>
      <c r="K227" s="1" t="s">
        <v>784</v>
      </c>
      <c r="L227" s="1" t="s">
        <v>21</v>
      </c>
      <c r="M227" s="2">
        <f t="shared" si="6"/>
        <v>911</v>
      </c>
      <c r="N227" s="5">
        <f t="shared" si="7"/>
        <v>0.87</v>
      </c>
      <c r="O227" s="17" t="s">
        <v>1208</v>
      </c>
    </row>
    <row r="228" spans="1:15" ht="18.75" x14ac:dyDescent="0.3">
      <c r="A228" s="1" t="s">
        <v>785</v>
      </c>
      <c r="B228" s="1" t="s">
        <v>786</v>
      </c>
      <c r="C228" s="1" t="s">
        <v>787</v>
      </c>
      <c r="D228" s="3">
        <v>598</v>
      </c>
      <c r="E228" s="2">
        <v>147</v>
      </c>
      <c r="F228" s="4">
        <v>0.75</v>
      </c>
      <c r="G228">
        <v>3.6</v>
      </c>
      <c r="H228" s="1" t="s">
        <v>29</v>
      </c>
      <c r="I228" s="1" t="s">
        <v>1173</v>
      </c>
      <c r="J228" s="1" t="s">
        <v>1180</v>
      </c>
      <c r="K228" s="1" t="s">
        <v>55</v>
      </c>
      <c r="L228" s="1" t="s">
        <v>21</v>
      </c>
      <c r="M228" s="2">
        <f t="shared" si="6"/>
        <v>745</v>
      </c>
      <c r="N228" s="5">
        <f t="shared" si="7"/>
        <v>0.87</v>
      </c>
      <c r="O228" s="17" t="s">
        <v>1208</v>
      </c>
    </row>
    <row r="229" spans="1:15" ht="18.75" x14ac:dyDescent="0.3">
      <c r="A229" s="1" t="s">
        <v>789</v>
      </c>
      <c r="B229" s="1" t="s">
        <v>790</v>
      </c>
      <c r="C229" s="1" t="s">
        <v>791</v>
      </c>
      <c r="D229" s="3">
        <v>759</v>
      </c>
      <c r="E229" s="2">
        <v>120</v>
      </c>
      <c r="F229" s="4">
        <v>0.84</v>
      </c>
      <c r="G229">
        <v>3.5</v>
      </c>
      <c r="H229" s="1" t="s">
        <v>29</v>
      </c>
      <c r="I229" s="1" t="s">
        <v>1173</v>
      </c>
      <c r="J229" s="1" t="s">
        <v>1177</v>
      </c>
      <c r="K229" s="1" t="s">
        <v>795</v>
      </c>
      <c r="L229" s="1" t="s">
        <v>21</v>
      </c>
      <c r="M229" s="2">
        <f t="shared" si="6"/>
        <v>879</v>
      </c>
      <c r="N229" s="5">
        <f t="shared" si="7"/>
        <v>0.87</v>
      </c>
      <c r="O229" s="17" t="s">
        <v>1208</v>
      </c>
    </row>
    <row r="230" spans="1:15" ht="18.75" x14ac:dyDescent="0.3">
      <c r="A230" s="1" t="s">
        <v>796</v>
      </c>
      <c r="B230" s="1" t="s">
        <v>78</v>
      </c>
      <c r="C230" s="1" t="s">
        <v>79</v>
      </c>
      <c r="D230" s="3">
        <v>449</v>
      </c>
      <c r="E230" s="2">
        <v>335</v>
      </c>
      <c r="F230" s="4">
        <v>0.25</v>
      </c>
      <c r="G230">
        <v>4</v>
      </c>
      <c r="H230" s="1" t="s">
        <v>29</v>
      </c>
      <c r="I230" s="1" t="s">
        <v>1169</v>
      </c>
      <c r="J230" s="1" t="s">
        <v>1178</v>
      </c>
      <c r="K230" s="1" t="s">
        <v>41</v>
      </c>
      <c r="L230" s="1" t="s">
        <v>21</v>
      </c>
      <c r="M230" s="2">
        <f t="shared" si="6"/>
        <v>784</v>
      </c>
      <c r="N230" s="5">
        <f t="shared" si="7"/>
        <v>0.87</v>
      </c>
      <c r="O230" s="17" t="s">
        <v>1209</v>
      </c>
    </row>
    <row r="231" spans="1:15" ht="18.75" x14ac:dyDescent="0.3">
      <c r="A231" s="1" t="s">
        <v>797</v>
      </c>
      <c r="B231" s="1" t="s">
        <v>78</v>
      </c>
      <c r="C231" s="1" t="s">
        <v>79</v>
      </c>
      <c r="D231" s="3">
        <v>499</v>
      </c>
      <c r="E231" s="2">
        <v>426</v>
      </c>
      <c r="F231" s="4">
        <v>0.14000000000000001</v>
      </c>
      <c r="G231">
        <v>4.2</v>
      </c>
      <c r="H231" s="1" t="s">
        <v>29</v>
      </c>
      <c r="I231" s="1" t="s">
        <v>1169</v>
      </c>
      <c r="J231" s="1" t="s">
        <v>1178</v>
      </c>
      <c r="K231" s="1" t="s">
        <v>41</v>
      </c>
      <c r="L231" s="1" t="s">
        <v>21</v>
      </c>
      <c r="M231" s="2">
        <f t="shared" si="6"/>
        <v>925</v>
      </c>
      <c r="N231" s="5">
        <f t="shared" si="7"/>
        <v>0.87</v>
      </c>
      <c r="O231" s="17" t="s">
        <v>1208</v>
      </c>
    </row>
    <row r="232" spans="1:15" ht="18.75" x14ac:dyDescent="0.3">
      <c r="A232" s="1" t="s">
        <v>798</v>
      </c>
      <c r="B232" s="1" t="s">
        <v>799</v>
      </c>
      <c r="C232" s="1" t="s">
        <v>800</v>
      </c>
      <c r="D232" s="3">
        <v>490</v>
      </c>
      <c r="E232" s="2">
        <v>142</v>
      </c>
      <c r="F232" s="4">
        <v>0.71</v>
      </c>
      <c r="G232">
        <v>3.8</v>
      </c>
      <c r="H232" s="1" t="s">
        <v>29</v>
      </c>
      <c r="I232" s="1" t="s">
        <v>1171</v>
      </c>
      <c r="J232" s="1" t="s">
        <v>1180</v>
      </c>
      <c r="K232" s="1" t="s">
        <v>802</v>
      </c>
      <c r="L232" s="1" t="s">
        <v>21</v>
      </c>
      <c r="M232" s="2">
        <f t="shared" si="6"/>
        <v>632</v>
      </c>
      <c r="N232" s="5">
        <f t="shared" si="7"/>
        <v>0.87</v>
      </c>
      <c r="O232" s="17" t="s">
        <v>1209</v>
      </c>
    </row>
    <row r="233" spans="1:15" ht="18.75" x14ac:dyDescent="0.3">
      <c r="A233" s="1" t="s">
        <v>803</v>
      </c>
      <c r="B233" s="1" t="s">
        <v>804</v>
      </c>
      <c r="C233" s="1" t="s">
        <v>805</v>
      </c>
      <c r="D233" s="3">
        <v>399</v>
      </c>
      <c r="E233" s="2">
        <v>195</v>
      </c>
      <c r="F233" s="4">
        <v>0.51</v>
      </c>
      <c r="G233">
        <v>4</v>
      </c>
      <c r="H233" s="1" t="s">
        <v>29</v>
      </c>
      <c r="I233" s="1" t="s">
        <v>1173</v>
      </c>
      <c r="J233" s="1" t="s">
        <v>1181</v>
      </c>
      <c r="K233" s="1" t="s">
        <v>770</v>
      </c>
      <c r="L233" s="1" t="s">
        <v>21</v>
      </c>
      <c r="M233" s="2">
        <f t="shared" si="6"/>
        <v>594</v>
      </c>
      <c r="N233" s="5">
        <f t="shared" si="7"/>
        <v>0.87</v>
      </c>
      <c r="O233" s="17" t="s">
        <v>1208</v>
      </c>
    </row>
    <row r="234" spans="1:15" ht="18.75" x14ac:dyDescent="0.3">
      <c r="A234" s="1" t="s">
        <v>808</v>
      </c>
      <c r="B234" s="1" t="s">
        <v>78</v>
      </c>
      <c r="C234" s="1" t="s">
        <v>79</v>
      </c>
      <c r="D234" s="3">
        <v>499</v>
      </c>
      <c r="E234" s="2">
        <v>335</v>
      </c>
      <c r="F234" s="4">
        <v>0.32</v>
      </c>
      <c r="G234">
        <v>4</v>
      </c>
      <c r="H234" s="1" t="s">
        <v>29</v>
      </c>
      <c r="I234" s="1" t="s">
        <v>1169</v>
      </c>
      <c r="J234" s="1" t="s">
        <v>1178</v>
      </c>
      <c r="K234" s="1" t="s">
        <v>41</v>
      </c>
      <c r="L234" s="1" t="s">
        <v>21</v>
      </c>
      <c r="M234" s="2">
        <f t="shared" si="6"/>
        <v>834</v>
      </c>
      <c r="N234" s="5">
        <f t="shared" si="7"/>
        <v>0.87</v>
      </c>
      <c r="O234" s="17" t="s">
        <v>1209</v>
      </c>
    </row>
    <row r="235" spans="1:15" ht="18.75" x14ac:dyDescent="0.3">
      <c r="A235" s="1" t="s">
        <v>809</v>
      </c>
      <c r="B235" s="1" t="s">
        <v>33</v>
      </c>
      <c r="C235" s="1" t="s">
        <v>34</v>
      </c>
      <c r="D235" s="3">
        <v>445</v>
      </c>
      <c r="E235" s="2">
        <v>335</v>
      </c>
      <c r="F235" s="4">
        <v>0.24</v>
      </c>
      <c r="G235">
        <v>4.4000000000000004</v>
      </c>
      <c r="H235" s="1" t="s">
        <v>29</v>
      </c>
      <c r="I235" s="1" t="s">
        <v>1167</v>
      </c>
      <c r="J235" s="1" t="s">
        <v>1178</v>
      </c>
      <c r="K235" s="1" t="s">
        <v>41</v>
      </c>
      <c r="L235" s="1" t="s">
        <v>21</v>
      </c>
      <c r="M235" s="2">
        <f t="shared" si="6"/>
        <v>780</v>
      </c>
      <c r="N235" s="5">
        <f t="shared" si="7"/>
        <v>0.87</v>
      </c>
      <c r="O235" s="17" t="s">
        <v>1209</v>
      </c>
    </row>
    <row r="236" spans="1:15" ht="18.75" x14ac:dyDescent="0.3">
      <c r="A236" s="1" t="s">
        <v>810</v>
      </c>
      <c r="B236" s="1" t="s">
        <v>811</v>
      </c>
      <c r="C236" s="1" t="s">
        <v>812</v>
      </c>
      <c r="D236" s="3">
        <v>499</v>
      </c>
      <c r="E236" s="2">
        <v>172</v>
      </c>
      <c r="F236" s="4">
        <v>0.65</v>
      </c>
      <c r="G236">
        <v>4</v>
      </c>
      <c r="H236" s="1" t="s">
        <v>17</v>
      </c>
      <c r="I236" s="1" t="s">
        <v>1175</v>
      </c>
      <c r="J236" s="1" t="s">
        <v>1177</v>
      </c>
      <c r="K236" s="1" t="s">
        <v>345</v>
      </c>
      <c r="L236" s="1" t="s">
        <v>21</v>
      </c>
      <c r="M236" s="2">
        <f t="shared" si="6"/>
        <v>671</v>
      </c>
      <c r="N236" s="5">
        <f t="shared" si="7"/>
        <v>0.87</v>
      </c>
      <c r="O236" s="17" t="s">
        <v>1208</v>
      </c>
    </row>
    <row r="237" spans="1:15" ht="18.75" x14ac:dyDescent="0.3">
      <c r="A237" s="1" t="s">
        <v>813</v>
      </c>
      <c r="B237" s="1" t="s">
        <v>488</v>
      </c>
      <c r="C237" s="1" t="s">
        <v>489</v>
      </c>
      <c r="D237" s="3">
        <v>499</v>
      </c>
      <c r="E237" s="2">
        <v>135</v>
      </c>
      <c r="F237" s="4">
        <v>0.72</v>
      </c>
      <c r="G237">
        <v>3.4</v>
      </c>
      <c r="H237" s="1" t="s">
        <v>17</v>
      </c>
      <c r="I237" s="1" t="s">
        <v>1173</v>
      </c>
      <c r="J237" s="1" t="s">
        <v>1177</v>
      </c>
      <c r="K237" s="1" t="s">
        <v>525</v>
      </c>
      <c r="L237" s="1" t="s">
        <v>21</v>
      </c>
      <c r="M237" s="2">
        <f t="shared" si="6"/>
        <v>634</v>
      </c>
      <c r="N237" s="5">
        <f t="shared" si="7"/>
        <v>0.87</v>
      </c>
      <c r="O237" s="17" t="s">
        <v>1208</v>
      </c>
    </row>
    <row r="238" spans="1:15" ht="18.75" x14ac:dyDescent="0.3">
      <c r="A238" s="1" t="s">
        <v>814</v>
      </c>
      <c r="B238" s="1" t="s">
        <v>815</v>
      </c>
      <c r="C238" s="1" t="s">
        <v>816</v>
      </c>
      <c r="D238" s="3">
        <v>499</v>
      </c>
      <c r="E238" s="2">
        <v>283</v>
      </c>
      <c r="F238" s="4">
        <v>0.43</v>
      </c>
      <c r="G238">
        <v>4.3</v>
      </c>
      <c r="H238" s="1" t="s">
        <v>29</v>
      </c>
      <c r="I238" s="1" t="s">
        <v>1167</v>
      </c>
      <c r="J238" s="1" t="s">
        <v>1178</v>
      </c>
      <c r="K238" s="1" t="s">
        <v>41</v>
      </c>
      <c r="L238" s="1" t="s">
        <v>21</v>
      </c>
      <c r="M238" s="2">
        <f t="shared" si="6"/>
        <v>782</v>
      </c>
      <c r="N238" s="5">
        <f t="shared" si="7"/>
        <v>0.87</v>
      </c>
      <c r="O238" s="17" t="s">
        <v>1208</v>
      </c>
    </row>
    <row r="239" spans="1:15" ht="18.75" x14ac:dyDescent="0.3">
      <c r="A239" s="1" t="s">
        <v>817</v>
      </c>
      <c r="B239" s="1" t="s">
        <v>818</v>
      </c>
      <c r="C239" s="1" t="s">
        <v>819</v>
      </c>
      <c r="D239" s="3">
        <v>499</v>
      </c>
      <c r="E239" s="2">
        <v>161</v>
      </c>
      <c r="F239" s="4">
        <v>0.67</v>
      </c>
      <c r="G239">
        <v>3.1</v>
      </c>
      <c r="H239" s="1" t="s">
        <v>29</v>
      </c>
      <c r="I239" s="1" t="s">
        <v>1168</v>
      </c>
      <c r="J239" s="1" t="s">
        <v>1180</v>
      </c>
      <c r="K239" s="1" t="s">
        <v>239</v>
      </c>
      <c r="L239" s="1" t="s">
        <v>21</v>
      </c>
      <c r="M239" s="2">
        <f t="shared" si="6"/>
        <v>660</v>
      </c>
      <c r="N239" s="5">
        <f t="shared" si="7"/>
        <v>0.87</v>
      </c>
      <c r="O239" s="17" t="s">
        <v>1208</v>
      </c>
    </row>
    <row r="240" spans="1:15" ht="18.75" x14ac:dyDescent="0.3">
      <c r="A240" s="1" t="s">
        <v>821</v>
      </c>
      <c r="B240" s="1" t="s">
        <v>78</v>
      </c>
      <c r="C240" s="1" t="s">
        <v>79</v>
      </c>
      <c r="D240" s="3">
        <v>495</v>
      </c>
      <c r="E240" s="2">
        <v>331</v>
      </c>
      <c r="F240" s="4">
        <v>0.33</v>
      </c>
      <c r="G240">
        <v>4.0999999999999996</v>
      </c>
      <c r="H240" s="1" t="s">
        <v>29</v>
      </c>
      <c r="I240" s="1" t="s">
        <v>1169</v>
      </c>
      <c r="J240" s="1" t="s">
        <v>1178</v>
      </c>
      <c r="K240" s="1" t="s">
        <v>41</v>
      </c>
      <c r="L240" s="1" t="s">
        <v>21</v>
      </c>
      <c r="M240" s="2">
        <f t="shared" si="6"/>
        <v>826</v>
      </c>
      <c r="N240" s="5">
        <f t="shared" si="7"/>
        <v>0.87</v>
      </c>
      <c r="O240" s="17" t="s">
        <v>1209</v>
      </c>
    </row>
    <row r="241" spans="1:15" ht="18.75" x14ac:dyDescent="0.3">
      <c r="A241" s="1" t="s">
        <v>822</v>
      </c>
      <c r="B241" s="1" t="s">
        <v>78</v>
      </c>
      <c r="C241" s="1" t="s">
        <v>214</v>
      </c>
      <c r="D241" s="3">
        <v>349</v>
      </c>
      <c r="E241" s="2">
        <v>325</v>
      </c>
      <c r="F241" s="4">
        <v>0.06</v>
      </c>
      <c r="G241">
        <v>4</v>
      </c>
      <c r="H241" s="1" t="s">
        <v>29</v>
      </c>
      <c r="I241" s="1" t="s">
        <v>1169</v>
      </c>
      <c r="J241" s="1" t="s">
        <v>1178</v>
      </c>
      <c r="K241" s="1" t="s">
        <v>41</v>
      </c>
      <c r="L241" s="1" t="s">
        <v>21</v>
      </c>
      <c r="M241" s="2">
        <f t="shared" si="6"/>
        <v>674</v>
      </c>
      <c r="N241" s="5">
        <f t="shared" si="7"/>
        <v>0.87</v>
      </c>
      <c r="O241" s="17" t="s">
        <v>1209</v>
      </c>
    </row>
    <row r="242" spans="1:15" ht="18.75" x14ac:dyDescent="0.3">
      <c r="A242" s="1" t="s">
        <v>823</v>
      </c>
      <c r="B242" s="1" t="s">
        <v>120</v>
      </c>
      <c r="C242" s="1" t="s">
        <v>824</v>
      </c>
      <c r="D242" s="3">
        <v>499</v>
      </c>
      <c r="E242" s="2">
        <v>212</v>
      </c>
      <c r="F242" s="4">
        <v>0.56999999999999995</v>
      </c>
      <c r="G242">
        <v>4</v>
      </c>
      <c r="H242" s="1" t="s">
        <v>17</v>
      </c>
      <c r="I242" s="1" t="s">
        <v>1168</v>
      </c>
      <c r="J242" s="1" t="s">
        <v>1177</v>
      </c>
      <c r="K242" s="1" t="s">
        <v>258</v>
      </c>
      <c r="L242" s="1" t="s">
        <v>21</v>
      </c>
      <c r="M242" s="2">
        <f t="shared" si="6"/>
        <v>711</v>
      </c>
      <c r="N242" s="5">
        <f t="shared" si="7"/>
        <v>0.87</v>
      </c>
      <c r="O242" s="17" t="s">
        <v>1209</v>
      </c>
    </row>
    <row r="243" spans="1:15" ht="18.75" x14ac:dyDescent="0.3">
      <c r="A243" s="1" t="s">
        <v>825</v>
      </c>
      <c r="B243" s="1" t="s">
        <v>90</v>
      </c>
      <c r="C243" s="1" t="s">
        <v>91</v>
      </c>
      <c r="D243" s="3">
        <v>1300</v>
      </c>
      <c r="E243" s="2">
        <v>169</v>
      </c>
      <c r="F243" s="4">
        <v>0.87</v>
      </c>
      <c r="G243">
        <v>4</v>
      </c>
      <c r="H243" s="1" t="s">
        <v>29</v>
      </c>
      <c r="I243" s="1" t="s">
        <v>1170</v>
      </c>
      <c r="J243" s="1" t="s">
        <v>1180</v>
      </c>
      <c r="K243" s="1" t="s">
        <v>163</v>
      </c>
      <c r="L243" s="1" t="s">
        <v>21</v>
      </c>
      <c r="M243" s="2">
        <f t="shared" si="6"/>
        <v>1469</v>
      </c>
      <c r="N243" s="5">
        <f t="shared" si="7"/>
        <v>0.87</v>
      </c>
      <c r="O243" s="17" t="s">
        <v>1209</v>
      </c>
    </row>
    <row r="244" spans="1:15" ht="18.75" x14ac:dyDescent="0.3">
      <c r="A244" s="1" t="s">
        <v>826</v>
      </c>
      <c r="B244" s="1" t="s">
        <v>155</v>
      </c>
      <c r="C244" s="1" t="s">
        <v>156</v>
      </c>
      <c r="D244" s="3">
        <v>599</v>
      </c>
      <c r="E244" s="2">
        <v>134</v>
      </c>
      <c r="F244" s="4">
        <v>0.77</v>
      </c>
      <c r="G244">
        <v>3.5</v>
      </c>
      <c r="H244" s="1" t="s">
        <v>29</v>
      </c>
      <c r="I244" s="1" t="s">
        <v>1168</v>
      </c>
      <c r="J244" s="1" t="s">
        <v>1177</v>
      </c>
      <c r="K244" s="1" t="s">
        <v>55</v>
      </c>
      <c r="L244" s="1" t="s">
        <v>21</v>
      </c>
      <c r="M244" s="2">
        <f t="shared" si="6"/>
        <v>733</v>
      </c>
      <c r="N244" s="5">
        <f t="shared" si="7"/>
        <v>0.86</v>
      </c>
      <c r="O244" s="17" t="s">
        <v>1209</v>
      </c>
    </row>
    <row r="245" spans="1:15" ht="18.75" x14ac:dyDescent="0.3">
      <c r="A245" s="1" t="s">
        <v>827</v>
      </c>
      <c r="B245" s="1" t="s">
        <v>43</v>
      </c>
      <c r="C245" s="1" t="s">
        <v>44</v>
      </c>
      <c r="D245" s="3">
        <v>449</v>
      </c>
      <c r="E245" s="2">
        <v>349</v>
      </c>
      <c r="F245" s="4">
        <v>0.22</v>
      </c>
      <c r="G245">
        <v>4.3</v>
      </c>
      <c r="H245" s="1" t="s">
        <v>29</v>
      </c>
      <c r="I245" s="1" t="s">
        <v>1167</v>
      </c>
      <c r="J245" s="1" t="s">
        <v>1178</v>
      </c>
      <c r="K245" s="1" t="s">
        <v>41</v>
      </c>
      <c r="L245" s="1" t="s">
        <v>21</v>
      </c>
      <c r="M245" s="2">
        <f t="shared" si="6"/>
        <v>798</v>
      </c>
      <c r="N245" s="5">
        <f t="shared" si="7"/>
        <v>0.86</v>
      </c>
      <c r="O245" s="17" t="s">
        <v>1209</v>
      </c>
    </row>
    <row r="246" spans="1:15" ht="18.75" x14ac:dyDescent="0.3">
      <c r="A246" s="1" t="s">
        <v>828</v>
      </c>
      <c r="B246" s="1" t="s">
        <v>829</v>
      </c>
      <c r="C246" s="1" t="s">
        <v>830</v>
      </c>
      <c r="D246" s="3">
        <v>199</v>
      </c>
      <c r="E246" s="2">
        <v>147</v>
      </c>
      <c r="F246" s="4">
        <v>0.26</v>
      </c>
      <c r="G246">
        <v>4</v>
      </c>
      <c r="H246" s="1" t="s">
        <v>29</v>
      </c>
      <c r="I246" s="1" t="s">
        <v>1173</v>
      </c>
      <c r="J246" s="1" t="s">
        <v>1177</v>
      </c>
      <c r="K246" s="1" t="s">
        <v>258</v>
      </c>
      <c r="L246" s="1" t="s">
        <v>21</v>
      </c>
      <c r="M246" s="2">
        <f t="shared" si="6"/>
        <v>346</v>
      </c>
      <c r="N246" s="5">
        <f t="shared" si="7"/>
        <v>0.86</v>
      </c>
      <c r="O246" s="17" t="s">
        <v>1209</v>
      </c>
    </row>
    <row r="247" spans="1:15" ht="18.75" x14ac:dyDescent="0.3">
      <c r="A247" s="1" t="s">
        <v>831</v>
      </c>
      <c r="B247" s="1" t="s">
        <v>324</v>
      </c>
      <c r="C247" s="1" t="s">
        <v>325</v>
      </c>
      <c r="D247" s="3">
        <v>399</v>
      </c>
      <c r="E247" s="2">
        <v>157</v>
      </c>
      <c r="F247" s="4">
        <v>0.6</v>
      </c>
      <c r="G247">
        <v>1.5</v>
      </c>
      <c r="H247" s="1" t="s">
        <v>29</v>
      </c>
      <c r="I247" s="1" t="s">
        <v>1167</v>
      </c>
      <c r="J247" s="1" t="s">
        <v>1180</v>
      </c>
      <c r="K247" s="1" t="s">
        <v>833</v>
      </c>
      <c r="L247" s="1" t="s">
        <v>21</v>
      </c>
      <c r="M247" s="2">
        <f t="shared" si="6"/>
        <v>556</v>
      </c>
      <c r="N247" s="5">
        <f t="shared" si="7"/>
        <v>0.86</v>
      </c>
      <c r="O247" s="17" t="s">
        <v>1208</v>
      </c>
    </row>
    <row r="248" spans="1:15" ht="18.75" x14ac:dyDescent="0.3">
      <c r="A248" s="1" t="s">
        <v>834</v>
      </c>
      <c r="B248" s="1" t="s">
        <v>324</v>
      </c>
      <c r="C248" s="1" t="s">
        <v>325</v>
      </c>
      <c r="D248" s="3">
        <v>300</v>
      </c>
      <c r="E248" s="2">
        <v>149</v>
      </c>
      <c r="F248" s="4">
        <v>0.5</v>
      </c>
      <c r="G248">
        <v>1.8</v>
      </c>
      <c r="H248" s="1" t="s">
        <v>17</v>
      </c>
      <c r="I248" s="1" t="s">
        <v>1172</v>
      </c>
      <c r="J248" s="1" t="s">
        <v>1180</v>
      </c>
      <c r="K248" s="1" t="s">
        <v>328</v>
      </c>
      <c r="L248" s="1" t="s">
        <v>21</v>
      </c>
      <c r="M248" s="2">
        <f t="shared" si="6"/>
        <v>449</v>
      </c>
      <c r="N248" s="5">
        <f t="shared" si="7"/>
        <v>0.86</v>
      </c>
      <c r="O248" s="17" t="s">
        <v>1208</v>
      </c>
    </row>
    <row r="249" spans="1:15" ht="18.75" x14ac:dyDescent="0.3">
      <c r="A249" s="1" t="s">
        <v>835</v>
      </c>
      <c r="B249" s="1" t="s">
        <v>120</v>
      </c>
      <c r="C249" s="1" t="s">
        <v>824</v>
      </c>
      <c r="D249" s="3">
        <v>399</v>
      </c>
      <c r="E249" s="2">
        <v>290</v>
      </c>
      <c r="F249" s="4">
        <v>0.27</v>
      </c>
      <c r="G249">
        <v>4</v>
      </c>
      <c r="H249" s="1" t="s">
        <v>17</v>
      </c>
      <c r="I249" s="1" t="s">
        <v>1168</v>
      </c>
      <c r="J249" s="1" t="s">
        <v>1177</v>
      </c>
      <c r="K249" s="1" t="s">
        <v>258</v>
      </c>
      <c r="L249" s="1" t="s">
        <v>21</v>
      </c>
      <c r="M249" s="2">
        <f t="shared" si="6"/>
        <v>689</v>
      </c>
      <c r="N249" s="5">
        <f t="shared" si="7"/>
        <v>0.86</v>
      </c>
      <c r="O249" s="17" t="s">
        <v>1208</v>
      </c>
    </row>
    <row r="250" spans="1:15" ht="18.75" x14ac:dyDescent="0.3">
      <c r="A250" s="1" t="s">
        <v>838</v>
      </c>
      <c r="B250" s="1" t="s">
        <v>33</v>
      </c>
      <c r="C250" s="1" t="s">
        <v>34</v>
      </c>
      <c r="D250" s="3">
        <v>449</v>
      </c>
      <c r="E250" s="2">
        <v>384</v>
      </c>
      <c r="F250" s="4">
        <v>0.14000000000000001</v>
      </c>
      <c r="G250">
        <v>4.4000000000000004</v>
      </c>
      <c r="H250" s="1" t="s">
        <v>29</v>
      </c>
      <c r="I250" s="1" t="s">
        <v>1167</v>
      </c>
      <c r="J250" s="1" t="s">
        <v>1178</v>
      </c>
      <c r="K250" s="1" t="s">
        <v>41</v>
      </c>
      <c r="L250" s="1" t="s">
        <v>21</v>
      </c>
      <c r="M250" s="2">
        <f t="shared" si="6"/>
        <v>833</v>
      </c>
      <c r="N250" s="5">
        <f t="shared" si="7"/>
        <v>0.86</v>
      </c>
      <c r="O250" s="17" t="s">
        <v>1208</v>
      </c>
    </row>
    <row r="251" spans="1:15" ht="18.75" x14ac:dyDescent="0.3">
      <c r="A251" s="1" t="s">
        <v>839</v>
      </c>
      <c r="B251" s="1" t="s">
        <v>78</v>
      </c>
      <c r="C251" s="1" t="s">
        <v>79</v>
      </c>
      <c r="D251" s="3">
        <v>499</v>
      </c>
      <c r="E251" s="2">
        <v>335</v>
      </c>
      <c r="F251" s="4">
        <v>0.32</v>
      </c>
      <c r="G251">
        <v>4</v>
      </c>
      <c r="H251" s="1" t="s">
        <v>29</v>
      </c>
      <c r="I251" s="1" t="s">
        <v>1169</v>
      </c>
      <c r="J251" s="1" t="s">
        <v>1178</v>
      </c>
      <c r="K251" s="1" t="s">
        <v>41</v>
      </c>
      <c r="L251" s="1" t="s">
        <v>21</v>
      </c>
      <c r="M251" s="2">
        <f t="shared" si="6"/>
        <v>834</v>
      </c>
      <c r="N251" s="5">
        <f t="shared" si="7"/>
        <v>0.86</v>
      </c>
      <c r="O251" s="17" t="s">
        <v>1209</v>
      </c>
    </row>
    <row r="252" spans="1:15" ht="18.75" x14ac:dyDescent="0.3">
      <c r="A252" s="1" t="s">
        <v>840</v>
      </c>
      <c r="B252" s="1" t="s">
        <v>49</v>
      </c>
      <c r="C252" s="1" t="s">
        <v>50</v>
      </c>
      <c r="D252" s="3">
        <v>339</v>
      </c>
      <c r="E252" s="2">
        <v>217</v>
      </c>
      <c r="F252" s="4">
        <v>0.35</v>
      </c>
      <c r="G252">
        <v>2.8</v>
      </c>
      <c r="H252" s="1" t="s">
        <v>29</v>
      </c>
      <c r="I252" s="1" t="s">
        <v>1168</v>
      </c>
      <c r="J252" s="1" t="s">
        <v>1179</v>
      </c>
      <c r="K252" s="1" t="s">
        <v>844</v>
      </c>
      <c r="L252" s="1" t="s">
        <v>21</v>
      </c>
      <c r="M252" s="2">
        <f t="shared" si="6"/>
        <v>556</v>
      </c>
      <c r="N252" s="5">
        <f t="shared" si="7"/>
        <v>0.86</v>
      </c>
      <c r="O252" s="17" t="s">
        <v>1208</v>
      </c>
    </row>
    <row r="253" spans="1:15" ht="18.75" x14ac:dyDescent="0.3">
      <c r="A253" s="1" t="s">
        <v>845</v>
      </c>
      <c r="B253" s="1" t="s">
        <v>846</v>
      </c>
      <c r="C253" s="1" t="s">
        <v>847</v>
      </c>
      <c r="D253" s="3">
        <v>207</v>
      </c>
      <c r="E253" s="2">
        <v>165</v>
      </c>
      <c r="F253" s="4">
        <v>0.2</v>
      </c>
      <c r="G253">
        <v>4</v>
      </c>
      <c r="H253" s="1" t="s">
        <v>17</v>
      </c>
      <c r="I253" s="1" t="s">
        <v>1168</v>
      </c>
      <c r="J253" s="1" t="s">
        <v>1177</v>
      </c>
      <c r="K253" s="1" t="s">
        <v>848</v>
      </c>
      <c r="L253" s="1" t="s">
        <v>21</v>
      </c>
      <c r="M253" s="2">
        <f t="shared" si="6"/>
        <v>372</v>
      </c>
      <c r="N253" s="5">
        <f t="shared" si="7"/>
        <v>0.86</v>
      </c>
      <c r="O253" s="17" t="s">
        <v>1209</v>
      </c>
    </row>
    <row r="254" spans="1:15" ht="18.75" x14ac:dyDescent="0.3">
      <c r="A254" s="1" t="s">
        <v>849</v>
      </c>
      <c r="B254" s="1" t="s">
        <v>78</v>
      </c>
      <c r="C254" s="1" t="s">
        <v>79</v>
      </c>
      <c r="D254" s="3">
        <v>749</v>
      </c>
      <c r="E254" s="2">
        <v>516</v>
      </c>
      <c r="F254" s="4">
        <v>0.31</v>
      </c>
      <c r="G254">
        <v>3.6</v>
      </c>
      <c r="H254" s="1" t="s">
        <v>29</v>
      </c>
      <c r="I254" s="1" t="s">
        <v>1169</v>
      </c>
      <c r="J254" s="1" t="s">
        <v>1178</v>
      </c>
      <c r="K254" s="1" t="s">
        <v>41</v>
      </c>
      <c r="L254" s="1" t="s">
        <v>21</v>
      </c>
      <c r="M254" s="2">
        <f t="shared" si="6"/>
        <v>1265</v>
      </c>
      <c r="N254" s="5">
        <f t="shared" si="7"/>
        <v>0.86</v>
      </c>
      <c r="O254" s="17" t="s">
        <v>1208</v>
      </c>
    </row>
    <row r="255" spans="1:15" ht="18.75" x14ac:dyDescent="0.3">
      <c r="A255" s="1" t="s">
        <v>850</v>
      </c>
      <c r="B255" s="1" t="s">
        <v>101</v>
      </c>
      <c r="C255" s="1" t="s">
        <v>102</v>
      </c>
      <c r="D255" s="3">
        <v>549</v>
      </c>
      <c r="E255" s="2">
        <v>388</v>
      </c>
      <c r="F255" s="4">
        <v>0.28999999999999998</v>
      </c>
      <c r="G255">
        <v>4.3</v>
      </c>
      <c r="H255" s="1" t="s">
        <v>29</v>
      </c>
      <c r="I255" s="1" t="s">
        <v>1171</v>
      </c>
      <c r="J255" s="1" t="s">
        <v>1178</v>
      </c>
      <c r="K255" s="1" t="s">
        <v>41</v>
      </c>
      <c r="L255" s="1" t="s">
        <v>21</v>
      </c>
      <c r="M255" s="2">
        <f t="shared" si="6"/>
        <v>937</v>
      </c>
      <c r="N255" s="5">
        <f t="shared" si="7"/>
        <v>0.86</v>
      </c>
      <c r="O255" s="17" t="s">
        <v>1209</v>
      </c>
    </row>
    <row r="256" spans="1:15" ht="18.75" x14ac:dyDescent="0.3">
      <c r="A256" s="1" t="s">
        <v>851</v>
      </c>
      <c r="B256" s="1" t="s">
        <v>852</v>
      </c>
      <c r="C256" s="1" t="s">
        <v>853</v>
      </c>
      <c r="D256" s="3">
        <v>339</v>
      </c>
      <c r="E256" s="2">
        <v>135</v>
      </c>
      <c r="F256" s="4">
        <v>0.6</v>
      </c>
      <c r="G256">
        <v>3.7</v>
      </c>
      <c r="H256" s="1" t="s">
        <v>17</v>
      </c>
      <c r="I256" s="1" t="s">
        <v>1173</v>
      </c>
      <c r="J256" s="1" t="s">
        <v>1177</v>
      </c>
      <c r="K256" s="1" t="s">
        <v>153</v>
      </c>
      <c r="L256" s="1" t="s">
        <v>21</v>
      </c>
      <c r="M256" s="2">
        <f t="shared" si="6"/>
        <v>474</v>
      </c>
      <c r="N256" s="5">
        <f t="shared" si="7"/>
        <v>0.86</v>
      </c>
      <c r="O256" s="17" t="s">
        <v>1209</v>
      </c>
    </row>
    <row r="257" spans="1:15" ht="18.75" x14ac:dyDescent="0.3">
      <c r="A257" s="1" t="s">
        <v>854</v>
      </c>
      <c r="B257" s="1" t="s">
        <v>855</v>
      </c>
      <c r="C257" s="1" t="s">
        <v>856</v>
      </c>
      <c r="D257" s="3">
        <v>249</v>
      </c>
      <c r="E257" s="2">
        <v>179</v>
      </c>
      <c r="F257" s="4">
        <v>0.28000000000000003</v>
      </c>
      <c r="G257">
        <v>2.5</v>
      </c>
      <c r="H257" s="1" t="s">
        <v>29</v>
      </c>
      <c r="I257" s="1" t="s">
        <v>1171</v>
      </c>
      <c r="J257" s="1" t="s">
        <v>1178</v>
      </c>
      <c r="K257" s="1" t="s">
        <v>163</v>
      </c>
      <c r="L257" s="1" t="s">
        <v>21</v>
      </c>
      <c r="M257" s="2">
        <f t="shared" si="6"/>
        <v>428</v>
      </c>
      <c r="N257" s="5">
        <f t="shared" si="7"/>
        <v>0.86</v>
      </c>
      <c r="O257" s="17" t="s">
        <v>1209</v>
      </c>
    </row>
    <row r="258" spans="1:15" ht="18.75" x14ac:dyDescent="0.3">
      <c r="A258" s="1" t="s">
        <v>857</v>
      </c>
      <c r="B258" s="1" t="s">
        <v>120</v>
      </c>
      <c r="C258" s="1" t="s">
        <v>121</v>
      </c>
      <c r="D258" s="3">
        <v>399</v>
      </c>
      <c r="E258" s="2">
        <v>142</v>
      </c>
      <c r="F258" s="4">
        <v>0.64</v>
      </c>
      <c r="G258">
        <v>4</v>
      </c>
      <c r="H258" s="1" t="s">
        <v>17</v>
      </c>
      <c r="I258" s="1" t="s">
        <v>1174</v>
      </c>
      <c r="J258" s="1" t="s">
        <v>1177</v>
      </c>
      <c r="K258" s="1" t="s">
        <v>88</v>
      </c>
      <c r="L258" s="1" t="s">
        <v>21</v>
      </c>
      <c r="M258" s="2">
        <f t="shared" si="6"/>
        <v>541</v>
      </c>
      <c r="N258" s="5">
        <f t="shared" si="7"/>
        <v>0.86</v>
      </c>
      <c r="O258" s="17" t="s">
        <v>1209</v>
      </c>
    </row>
    <row r="259" spans="1:15" ht="18.75" x14ac:dyDescent="0.3">
      <c r="A259" s="1" t="s">
        <v>858</v>
      </c>
      <c r="B259" s="1" t="s">
        <v>271</v>
      </c>
      <c r="C259" s="1" t="s">
        <v>272</v>
      </c>
      <c r="D259" s="3">
        <v>199</v>
      </c>
      <c r="E259" s="2">
        <v>137</v>
      </c>
      <c r="F259" s="4">
        <v>0.31</v>
      </c>
      <c r="G259">
        <v>4</v>
      </c>
      <c r="H259" s="1" t="s">
        <v>17</v>
      </c>
      <c r="I259" s="1" t="s">
        <v>1168</v>
      </c>
      <c r="J259" s="1" t="s">
        <v>1177</v>
      </c>
      <c r="K259" s="1" t="s">
        <v>258</v>
      </c>
      <c r="L259" s="1" t="s">
        <v>21</v>
      </c>
      <c r="M259" s="2">
        <f t="shared" ref="M259:M322" si="8">SUM(D259,E259)</f>
        <v>336</v>
      </c>
      <c r="N259" s="5">
        <f t="shared" ref="N259:N322" si="9">MAX(F259:F698)</f>
        <v>0.86</v>
      </c>
      <c r="O259" s="17" t="s">
        <v>1209</v>
      </c>
    </row>
    <row r="260" spans="1:15" ht="18.75" x14ac:dyDescent="0.3">
      <c r="A260" s="1" t="s">
        <v>859</v>
      </c>
      <c r="B260" s="1" t="s">
        <v>43</v>
      </c>
      <c r="C260" s="1" t="s">
        <v>44</v>
      </c>
      <c r="D260" s="3">
        <v>449</v>
      </c>
      <c r="E260" s="2">
        <v>349</v>
      </c>
      <c r="F260" s="4">
        <v>0.22</v>
      </c>
      <c r="G260">
        <v>4.3</v>
      </c>
      <c r="H260" s="1" t="s">
        <v>29</v>
      </c>
      <c r="I260" s="1" t="s">
        <v>1167</v>
      </c>
      <c r="J260" s="1" t="s">
        <v>1178</v>
      </c>
      <c r="K260" s="1" t="s">
        <v>41</v>
      </c>
      <c r="L260" s="1" t="s">
        <v>21</v>
      </c>
      <c r="M260" s="2">
        <f t="shared" si="8"/>
        <v>798</v>
      </c>
      <c r="N260" s="5">
        <f t="shared" si="9"/>
        <v>0.86</v>
      </c>
      <c r="O260" s="17" t="s">
        <v>1208</v>
      </c>
    </row>
    <row r="261" spans="1:15" ht="18.75" x14ac:dyDescent="0.3">
      <c r="A261" s="1" t="s">
        <v>860</v>
      </c>
      <c r="B261" s="1" t="s">
        <v>43</v>
      </c>
      <c r="C261" s="1" t="s">
        <v>44</v>
      </c>
      <c r="D261" s="3">
        <v>449</v>
      </c>
      <c r="E261" s="2">
        <v>349</v>
      </c>
      <c r="F261" s="4">
        <v>0.22</v>
      </c>
      <c r="G261">
        <v>4.3</v>
      </c>
      <c r="H261" s="1" t="s">
        <v>29</v>
      </c>
      <c r="I261" s="1" t="s">
        <v>1167</v>
      </c>
      <c r="J261" s="1" t="s">
        <v>1178</v>
      </c>
      <c r="K261" s="1" t="s">
        <v>41</v>
      </c>
      <c r="L261" s="1" t="s">
        <v>21</v>
      </c>
      <c r="M261" s="2">
        <f t="shared" si="8"/>
        <v>798</v>
      </c>
      <c r="N261" s="5">
        <f t="shared" si="9"/>
        <v>0.86</v>
      </c>
      <c r="O261" s="17" t="s">
        <v>1208</v>
      </c>
    </row>
    <row r="262" spans="1:15" ht="18.75" x14ac:dyDescent="0.3">
      <c r="A262" s="1" t="s">
        <v>861</v>
      </c>
      <c r="B262" s="1" t="s">
        <v>829</v>
      </c>
      <c r="C262" s="1" t="s">
        <v>830</v>
      </c>
      <c r="D262" s="3">
        <v>199</v>
      </c>
      <c r="E262" s="2">
        <v>135</v>
      </c>
      <c r="F262" s="4">
        <v>0.32</v>
      </c>
      <c r="G262">
        <v>4</v>
      </c>
      <c r="H262" s="1" t="s">
        <v>29</v>
      </c>
      <c r="I262" s="1" t="s">
        <v>1173</v>
      </c>
      <c r="J262" s="1" t="s">
        <v>1177</v>
      </c>
      <c r="K262" s="1" t="s">
        <v>258</v>
      </c>
      <c r="L262" s="1" t="s">
        <v>21</v>
      </c>
      <c r="M262" s="2">
        <f t="shared" si="8"/>
        <v>334</v>
      </c>
      <c r="N262" s="5">
        <f t="shared" si="9"/>
        <v>0.86</v>
      </c>
      <c r="O262" s="17" t="s">
        <v>1208</v>
      </c>
    </row>
    <row r="263" spans="1:15" ht="18.75" x14ac:dyDescent="0.3">
      <c r="A263" s="1" t="s">
        <v>862</v>
      </c>
      <c r="B263" s="1" t="s">
        <v>829</v>
      </c>
      <c r="C263" s="1" t="s">
        <v>830</v>
      </c>
      <c r="D263" s="3">
        <v>199</v>
      </c>
      <c r="E263" s="2">
        <v>140</v>
      </c>
      <c r="F263" s="4">
        <v>0.28999999999999998</v>
      </c>
      <c r="G263">
        <v>4</v>
      </c>
      <c r="H263" s="1" t="s">
        <v>29</v>
      </c>
      <c r="I263" s="1" t="s">
        <v>1173</v>
      </c>
      <c r="J263" s="1" t="s">
        <v>1177</v>
      </c>
      <c r="K263" s="1" t="s">
        <v>258</v>
      </c>
      <c r="L263" s="1" t="s">
        <v>21</v>
      </c>
      <c r="M263" s="2">
        <f t="shared" si="8"/>
        <v>339</v>
      </c>
      <c r="N263" s="5">
        <f t="shared" si="9"/>
        <v>0.86</v>
      </c>
      <c r="O263" s="17" t="s">
        <v>1208</v>
      </c>
    </row>
    <row r="264" spans="1:15" ht="18.75" x14ac:dyDescent="0.3">
      <c r="A264" s="1" t="s">
        <v>863</v>
      </c>
      <c r="B264" s="1" t="s">
        <v>78</v>
      </c>
      <c r="C264" s="1" t="s">
        <v>79</v>
      </c>
      <c r="D264" s="3">
        <v>499</v>
      </c>
      <c r="E264" s="2">
        <v>424</v>
      </c>
      <c r="F264" s="4">
        <v>0.15</v>
      </c>
      <c r="G264">
        <v>4.3</v>
      </c>
      <c r="H264" s="1" t="s">
        <v>29</v>
      </c>
      <c r="I264" s="1" t="s">
        <v>1169</v>
      </c>
      <c r="J264" s="1" t="s">
        <v>1178</v>
      </c>
      <c r="K264" s="1" t="s">
        <v>41</v>
      </c>
      <c r="L264" s="1" t="s">
        <v>21</v>
      </c>
      <c r="M264" s="2">
        <f t="shared" si="8"/>
        <v>923</v>
      </c>
      <c r="N264" s="5">
        <f t="shared" si="9"/>
        <v>0.86</v>
      </c>
      <c r="O264" s="17" t="s">
        <v>1208</v>
      </c>
    </row>
    <row r="265" spans="1:15" ht="18.75" x14ac:dyDescent="0.3">
      <c r="A265" s="1" t="s">
        <v>864</v>
      </c>
      <c r="B265" s="1" t="s">
        <v>33</v>
      </c>
      <c r="C265" s="1" t="s">
        <v>34</v>
      </c>
      <c r="D265" s="3">
        <v>449</v>
      </c>
      <c r="E265" s="2">
        <v>359</v>
      </c>
      <c r="F265" s="4">
        <v>0.2</v>
      </c>
      <c r="G265">
        <v>4</v>
      </c>
      <c r="H265" s="1" t="s">
        <v>29</v>
      </c>
      <c r="I265" s="1" t="s">
        <v>1167</v>
      </c>
      <c r="J265" s="1" t="s">
        <v>1178</v>
      </c>
      <c r="K265" s="1" t="s">
        <v>41</v>
      </c>
      <c r="L265" s="1" t="s">
        <v>21</v>
      </c>
      <c r="M265" s="2">
        <f t="shared" si="8"/>
        <v>808</v>
      </c>
      <c r="N265" s="5">
        <f t="shared" si="9"/>
        <v>0.86</v>
      </c>
      <c r="O265" s="17" t="s">
        <v>1208</v>
      </c>
    </row>
    <row r="266" spans="1:15" ht="18.75" x14ac:dyDescent="0.3">
      <c r="A266" s="1" t="s">
        <v>865</v>
      </c>
      <c r="B266" s="1" t="s">
        <v>866</v>
      </c>
      <c r="C266" s="1" t="s">
        <v>867</v>
      </c>
      <c r="D266" s="3">
        <v>399</v>
      </c>
      <c r="E266" s="2">
        <v>310</v>
      </c>
      <c r="F266" s="4">
        <v>0.22</v>
      </c>
      <c r="G266">
        <v>4.3</v>
      </c>
      <c r="H266" s="1" t="s">
        <v>29</v>
      </c>
      <c r="I266" s="1" t="s">
        <v>1172</v>
      </c>
      <c r="J266" s="1" t="s">
        <v>1178</v>
      </c>
      <c r="K266" s="1" t="s">
        <v>41</v>
      </c>
      <c r="L266" s="1" t="s">
        <v>21</v>
      </c>
      <c r="M266" s="2">
        <f t="shared" si="8"/>
        <v>709</v>
      </c>
      <c r="N266" s="5">
        <f t="shared" si="9"/>
        <v>0.86</v>
      </c>
      <c r="O266" s="17" t="s">
        <v>1208</v>
      </c>
    </row>
    <row r="267" spans="1:15" ht="18.75" x14ac:dyDescent="0.3">
      <c r="A267" s="1" t="s">
        <v>869</v>
      </c>
      <c r="B267" s="1" t="s">
        <v>870</v>
      </c>
      <c r="C267" s="1" t="s">
        <v>871</v>
      </c>
      <c r="D267" s="3">
        <v>357</v>
      </c>
      <c r="E267" s="2">
        <v>149</v>
      </c>
      <c r="F267" s="4">
        <v>0.57999999999999996</v>
      </c>
      <c r="G267">
        <v>1.8</v>
      </c>
      <c r="H267" s="1" t="s">
        <v>29</v>
      </c>
      <c r="I267" s="1" t="s">
        <v>1166</v>
      </c>
      <c r="J267" s="1" t="s">
        <v>1180</v>
      </c>
      <c r="K267" s="1" t="s">
        <v>873</v>
      </c>
      <c r="L267" s="1" t="s">
        <v>21</v>
      </c>
      <c r="M267" s="2">
        <f t="shared" si="8"/>
        <v>506</v>
      </c>
      <c r="N267" s="5">
        <f t="shared" si="9"/>
        <v>0.86</v>
      </c>
      <c r="O267" s="17" t="s">
        <v>1209</v>
      </c>
    </row>
    <row r="268" spans="1:15" ht="18.75" x14ac:dyDescent="0.3">
      <c r="A268" s="1" t="s">
        <v>874</v>
      </c>
      <c r="B268" s="1" t="s">
        <v>875</v>
      </c>
      <c r="C268" s="1" t="s">
        <v>876</v>
      </c>
      <c r="D268" s="3">
        <v>399</v>
      </c>
      <c r="E268" s="2">
        <v>169</v>
      </c>
      <c r="F268" s="4">
        <v>0.56999999999999995</v>
      </c>
      <c r="G268">
        <v>3.3</v>
      </c>
      <c r="H268" s="1" t="s">
        <v>29</v>
      </c>
      <c r="I268" s="1" t="s">
        <v>1175</v>
      </c>
      <c r="J268" s="1" t="s">
        <v>1177</v>
      </c>
      <c r="K268" s="1" t="s">
        <v>55</v>
      </c>
      <c r="L268" s="1" t="s">
        <v>21</v>
      </c>
      <c r="M268" s="2">
        <f t="shared" si="8"/>
        <v>568</v>
      </c>
      <c r="N268" s="5">
        <f t="shared" si="9"/>
        <v>0.86</v>
      </c>
      <c r="O268" s="17" t="s">
        <v>1208</v>
      </c>
    </row>
    <row r="269" spans="1:15" ht="18.75" x14ac:dyDescent="0.3">
      <c r="A269" s="1" t="s">
        <v>877</v>
      </c>
      <c r="B269" s="1" t="s">
        <v>878</v>
      </c>
      <c r="C269" s="1" t="s">
        <v>879</v>
      </c>
      <c r="D269" s="3">
        <v>999</v>
      </c>
      <c r="E269" s="2">
        <v>345</v>
      </c>
      <c r="F269" s="4">
        <v>0.65</v>
      </c>
      <c r="G269">
        <v>4.2</v>
      </c>
      <c r="H269" s="1" t="s">
        <v>29</v>
      </c>
      <c r="I269" s="1" t="s">
        <v>1172</v>
      </c>
      <c r="J269" s="1" t="s">
        <v>1182</v>
      </c>
      <c r="K269" s="1" t="s">
        <v>882</v>
      </c>
      <c r="L269" s="1" t="s">
        <v>21</v>
      </c>
      <c r="M269" s="2">
        <f t="shared" si="8"/>
        <v>1344</v>
      </c>
      <c r="N269" s="5">
        <f t="shared" si="9"/>
        <v>0.86</v>
      </c>
      <c r="O269" s="17" t="s">
        <v>1209</v>
      </c>
    </row>
    <row r="270" spans="1:15" ht="18.75" x14ac:dyDescent="0.3">
      <c r="A270" s="1" t="s">
        <v>883</v>
      </c>
      <c r="B270" s="1" t="s">
        <v>78</v>
      </c>
      <c r="C270" s="1" t="s">
        <v>79</v>
      </c>
      <c r="D270" s="3">
        <v>449</v>
      </c>
      <c r="E270" s="2">
        <v>335</v>
      </c>
      <c r="F270" s="4">
        <v>0.25</v>
      </c>
      <c r="G270">
        <v>4</v>
      </c>
      <c r="H270" s="1" t="s">
        <v>29</v>
      </c>
      <c r="I270" s="1" t="s">
        <v>1169</v>
      </c>
      <c r="J270" s="1" t="s">
        <v>1178</v>
      </c>
      <c r="K270" s="1" t="s">
        <v>41</v>
      </c>
      <c r="L270" s="1" t="s">
        <v>21</v>
      </c>
      <c r="M270" s="2">
        <f t="shared" si="8"/>
        <v>784</v>
      </c>
      <c r="N270" s="5">
        <f t="shared" si="9"/>
        <v>0.86</v>
      </c>
      <c r="O270" s="17" t="s">
        <v>1208</v>
      </c>
    </row>
    <row r="271" spans="1:15" ht="18.75" x14ac:dyDescent="0.3">
      <c r="A271" s="1" t="s">
        <v>884</v>
      </c>
      <c r="B271" s="1" t="s">
        <v>78</v>
      </c>
      <c r="C271" s="1" t="s">
        <v>79</v>
      </c>
      <c r="D271" s="3">
        <v>499</v>
      </c>
      <c r="E271" s="2">
        <v>426</v>
      </c>
      <c r="F271" s="4">
        <v>0.14000000000000001</v>
      </c>
      <c r="G271">
        <v>4.2</v>
      </c>
      <c r="H271" s="1" t="s">
        <v>29</v>
      </c>
      <c r="I271" s="1" t="s">
        <v>1169</v>
      </c>
      <c r="J271" s="1" t="s">
        <v>1178</v>
      </c>
      <c r="K271" s="1" t="s">
        <v>41</v>
      </c>
      <c r="L271" s="1" t="s">
        <v>21</v>
      </c>
      <c r="M271" s="2">
        <f t="shared" si="8"/>
        <v>925</v>
      </c>
      <c r="N271" s="5">
        <f t="shared" si="9"/>
        <v>0.86</v>
      </c>
      <c r="O271" s="17" t="s">
        <v>1208</v>
      </c>
    </row>
    <row r="272" spans="1:15" ht="18.75" x14ac:dyDescent="0.3">
      <c r="A272" s="1" t="s">
        <v>885</v>
      </c>
      <c r="B272" s="1" t="s">
        <v>886</v>
      </c>
      <c r="C272" s="1" t="s">
        <v>887</v>
      </c>
      <c r="D272" s="3">
        <v>399</v>
      </c>
      <c r="E272" s="2">
        <v>203</v>
      </c>
      <c r="F272" s="4">
        <v>0.49</v>
      </c>
      <c r="G272">
        <v>1.3</v>
      </c>
      <c r="H272" s="1" t="s">
        <v>17</v>
      </c>
      <c r="I272" s="1" t="s">
        <v>1171</v>
      </c>
      <c r="J272" s="1" t="s">
        <v>1177</v>
      </c>
      <c r="K272" s="1" t="s">
        <v>55</v>
      </c>
      <c r="L272" s="1" t="s">
        <v>21</v>
      </c>
      <c r="M272" s="2">
        <f t="shared" si="8"/>
        <v>602</v>
      </c>
      <c r="N272" s="5">
        <f t="shared" si="9"/>
        <v>0.86</v>
      </c>
      <c r="O272" s="17" t="s">
        <v>1209</v>
      </c>
    </row>
    <row r="273" spans="1:15" ht="18.75" x14ac:dyDescent="0.3">
      <c r="A273" s="1" t="s">
        <v>889</v>
      </c>
      <c r="B273" s="1" t="s">
        <v>890</v>
      </c>
      <c r="C273" s="1" t="s">
        <v>891</v>
      </c>
      <c r="D273" s="3">
        <v>800</v>
      </c>
      <c r="E273" s="2">
        <v>140</v>
      </c>
      <c r="F273" s="4">
        <v>0.82</v>
      </c>
      <c r="G273">
        <v>3.2</v>
      </c>
      <c r="H273" s="1" t="s">
        <v>485</v>
      </c>
      <c r="I273" s="1" t="s">
        <v>1175</v>
      </c>
      <c r="J273" s="1" t="s">
        <v>1180</v>
      </c>
      <c r="K273" s="1" t="s">
        <v>153</v>
      </c>
      <c r="L273" s="1" t="s">
        <v>21</v>
      </c>
      <c r="M273" s="2">
        <f t="shared" si="8"/>
        <v>940</v>
      </c>
      <c r="N273" s="5">
        <f t="shared" si="9"/>
        <v>0.86</v>
      </c>
      <c r="O273" s="17" t="s">
        <v>1208</v>
      </c>
    </row>
    <row r="274" spans="1:15" ht="18.75" x14ac:dyDescent="0.3">
      <c r="A274" s="1" t="s">
        <v>893</v>
      </c>
      <c r="B274" s="1" t="s">
        <v>78</v>
      </c>
      <c r="C274" s="1" t="s">
        <v>79</v>
      </c>
      <c r="D274" s="3">
        <v>499</v>
      </c>
      <c r="E274" s="2">
        <v>335</v>
      </c>
      <c r="F274" s="4">
        <v>0.32</v>
      </c>
      <c r="G274">
        <v>4</v>
      </c>
      <c r="H274" s="1" t="s">
        <v>29</v>
      </c>
      <c r="I274" s="1" t="s">
        <v>1169</v>
      </c>
      <c r="J274" s="1" t="s">
        <v>1178</v>
      </c>
      <c r="K274" s="1" t="s">
        <v>41</v>
      </c>
      <c r="L274" s="1" t="s">
        <v>21</v>
      </c>
      <c r="M274" s="2">
        <f t="shared" si="8"/>
        <v>834</v>
      </c>
      <c r="N274" s="5">
        <f t="shared" si="9"/>
        <v>0.86</v>
      </c>
      <c r="O274" s="17" t="s">
        <v>1208</v>
      </c>
    </row>
    <row r="275" spans="1:15" ht="18.75" x14ac:dyDescent="0.3">
      <c r="A275" s="1" t="s">
        <v>894</v>
      </c>
      <c r="B275" s="1" t="s">
        <v>33</v>
      </c>
      <c r="C275" s="1" t="s">
        <v>34</v>
      </c>
      <c r="D275" s="3">
        <v>445</v>
      </c>
      <c r="E275" s="2">
        <v>335</v>
      </c>
      <c r="F275" s="4">
        <v>0.24</v>
      </c>
      <c r="G275">
        <v>4.4000000000000004</v>
      </c>
      <c r="H275" s="1" t="s">
        <v>29</v>
      </c>
      <c r="I275" s="1" t="s">
        <v>1167</v>
      </c>
      <c r="J275" s="1" t="s">
        <v>1178</v>
      </c>
      <c r="K275" s="1" t="s">
        <v>41</v>
      </c>
      <c r="L275" s="1" t="s">
        <v>21</v>
      </c>
      <c r="M275" s="2">
        <f t="shared" si="8"/>
        <v>780</v>
      </c>
      <c r="N275" s="5">
        <f t="shared" si="9"/>
        <v>0.86</v>
      </c>
      <c r="O275" s="17" t="s">
        <v>1209</v>
      </c>
    </row>
    <row r="276" spans="1:15" ht="18.75" x14ac:dyDescent="0.3">
      <c r="A276" s="1" t="s">
        <v>895</v>
      </c>
      <c r="B276" s="1" t="s">
        <v>896</v>
      </c>
      <c r="C276" s="1" t="s">
        <v>897</v>
      </c>
      <c r="D276" s="3">
        <v>399</v>
      </c>
      <c r="E276" s="2">
        <v>151</v>
      </c>
      <c r="F276" s="4">
        <v>0.62</v>
      </c>
      <c r="G276">
        <v>3.1</v>
      </c>
      <c r="H276" s="1" t="s">
        <v>17</v>
      </c>
      <c r="I276" s="1" t="s">
        <v>1172</v>
      </c>
      <c r="J276" s="1" t="s">
        <v>1180</v>
      </c>
      <c r="K276" s="1" t="s">
        <v>567</v>
      </c>
      <c r="L276" s="1" t="s">
        <v>21</v>
      </c>
      <c r="M276" s="2">
        <f t="shared" si="8"/>
        <v>550</v>
      </c>
      <c r="N276" s="5">
        <f t="shared" si="9"/>
        <v>0.86</v>
      </c>
      <c r="O276" s="17" t="s">
        <v>1208</v>
      </c>
    </row>
    <row r="277" spans="1:15" ht="18.75" x14ac:dyDescent="0.3">
      <c r="A277" s="1" t="s">
        <v>899</v>
      </c>
      <c r="B277" s="1" t="s">
        <v>49</v>
      </c>
      <c r="C277" s="1" t="s">
        <v>50</v>
      </c>
      <c r="D277" s="3">
        <v>499</v>
      </c>
      <c r="E277" s="2">
        <v>150</v>
      </c>
      <c r="F277" s="4">
        <v>0.69</v>
      </c>
      <c r="G277">
        <v>4</v>
      </c>
      <c r="H277" s="1" t="s">
        <v>17</v>
      </c>
      <c r="I277" s="1" t="s">
        <v>1168</v>
      </c>
      <c r="J277" s="1" t="s">
        <v>1177</v>
      </c>
      <c r="K277" s="1" t="s">
        <v>55</v>
      </c>
      <c r="L277" s="1" t="s">
        <v>21</v>
      </c>
      <c r="M277" s="2">
        <f t="shared" si="8"/>
        <v>649</v>
      </c>
      <c r="N277" s="5">
        <f t="shared" si="9"/>
        <v>0.86</v>
      </c>
      <c r="O277" s="17" t="s">
        <v>1208</v>
      </c>
    </row>
    <row r="278" spans="1:15" ht="18.75" x14ac:dyDescent="0.3">
      <c r="A278" s="1" t="s">
        <v>900</v>
      </c>
      <c r="B278" s="1" t="s">
        <v>901</v>
      </c>
      <c r="C278" s="1" t="s">
        <v>902</v>
      </c>
      <c r="D278" s="3">
        <v>599</v>
      </c>
      <c r="E278" s="2">
        <v>158</v>
      </c>
      <c r="F278" s="4">
        <v>0.73</v>
      </c>
      <c r="G278">
        <v>3.2</v>
      </c>
      <c r="H278" s="1" t="s">
        <v>17</v>
      </c>
      <c r="I278" s="1" t="s">
        <v>1173</v>
      </c>
      <c r="J278" s="1" t="s">
        <v>1177</v>
      </c>
      <c r="K278" s="1" t="s">
        <v>802</v>
      </c>
      <c r="L278" s="1" t="s">
        <v>21</v>
      </c>
      <c r="M278" s="2">
        <f t="shared" si="8"/>
        <v>757</v>
      </c>
      <c r="N278" s="5">
        <f t="shared" si="9"/>
        <v>0.86</v>
      </c>
      <c r="O278" s="17" t="s">
        <v>1209</v>
      </c>
    </row>
    <row r="279" spans="1:15" ht="18.75" x14ac:dyDescent="0.3">
      <c r="A279" s="1" t="s">
        <v>903</v>
      </c>
      <c r="B279" s="1" t="s">
        <v>904</v>
      </c>
      <c r="C279" s="1" t="s">
        <v>905</v>
      </c>
      <c r="D279" s="3">
        <v>299</v>
      </c>
      <c r="E279" s="2">
        <v>145</v>
      </c>
      <c r="F279" s="4">
        <v>0.51</v>
      </c>
      <c r="G279">
        <v>3.1</v>
      </c>
      <c r="H279" s="1" t="s">
        <v>17</v>
      </c>
      <c r="I279" s="1" t="s">
        <v>1173</v>
      </c>
      <c r="J279" s="1" t="s">
        <v>1177</v>
      </c>
      <c r="K279" s="1" t="s">
        <v>55</v>
      </c>
      <c r="L279" s="1" t="s">
        <v>21</v>
      </c>
      <c r="M279" s="2">
        <f t="shared" si="8"/>
        <v>444</v>
      </c>
      <c r="N279" s="5">
        <f t="shared" si="9"/>
        <v>0.86</v>
      </c>
      <c r="O279" s="17" t="s">
        <v>1209</v>
      </c>
    </row>
    <row r="280" spans="1:15" ht="18.75" x14ac:dyDescent="0.3">
      <c r="A280" s="1" t="s">
        <v>906</v>
      </c>
      <c r="B280" s="1" t="s">
        <v>78</v>
      </c>
      <c r="C280" s="1" t="s">
        <v>79</v>
      </c>
      <c r="D280" s="3">
        <v>495</v>
      </c>
      <c r="E280" s="2">
        <v>331</v>
      </c>
      <c r="F280" s="4">
        <v>0.33</v>
      </c>
      <c r="G280">
        <v>4.0999999999999996</v>
      </c>
      <c r="H280" s="1" t="s">
        <v>29</v>
      </c>
      <c r="I280" s="1" t="s">
        <v>1169</v>
      </c>
      <c r="J280" s="1" t="s">
        <v>1178</v>
      </c>
      <c r="K280" s="1" t="s">
        <v>41</v>
      </c>
      <c r="L280" s="1" t="s">
        <v>21</v>
      </c>
      <c r="M280" s="2">
        <f t="shared" si="8"/>
        <v>826</v>
      </c>
      <c r="N280" s="5">
        <f t="shared" si="9"/>
        <v>0.86</v>
      </c>
      <c r="O280" s="17" t="s">
        <v>1208</v>
      </c>
    </row>
    <row r="281" spans="1:15" ht="18.75" x14ac:dyDescent="0.3">
      <c r="A281" s="1" t="s">
        <v>907</v>
      </c>
      <c r="B281" s="1" t="s">
        <v>78</v>
      </c>
      <c r="C281" s="1" t="s">
        <v>214</v>
      </c>
      <c r="D281" s="3">
        <v>349</v>
      </c>
      <c r="E281" s="2">
        <v>325</v>
      </c>
      <c r="F281" s="4">
        <v>0.06</v>
      </c>
      <c r="G281">
        <v>4</v>
      </c>
      <c r="H281" s="1" t="s">
        <v>29</v>
      </c>
      <c r="I281" s="1" t="s">
        <v>1169</v>
      </c>
      <c r="J281" s="1" t="s">
        <v>1178</v>
      </c>
      <c r="K281" s="1" t="s">
        <v>41</v>
      </c>
      <c r="L281" s="1" t="s">
        <v>21</v>
      </c>
      <c r="M281" s="2">
        <f t="shared" si="8"/>
        <v>674</v>
      </c>
      <c r="N281" s="5">
        <f t="shared" si="9"/>
        <v>0.86</v>
      </c>
      <c r="O281" s="17" t="s">
        <v>1208</v>
      </c>
    </row>
    <row r="282" spans="1:15" ht="18.75" x14ac:dyDescent="0.3">
      <c r="A282" s="1" t="s">
        <v>908</v>
      </c>
      <c r="B282" s="1" t="s">
        <v>909</v>
      </c>
      <c r="C282" s="1" t="s">
        <v>910</v>
      </c>
      <c r="D282" s="3">
        <v>199</v>
      </c>
      <c r="E282" s="2">
        <v>159</v>
      </c>
      <c r="F282" s="4">
        <v>0.2</v>
      </c>
      <c r="G282">
        <v>1.8</v>
      </c>
      <c r="H282" s="1" t="s">
        <v>17</v>
      </c>
      <c r="I282" s="1" t="s">
        <v>1171</v>
      </c>
      <c r="J282" s="1" t="s">
        <v>1180</v>
      </c>
      <c r="K282" s="1" t="s">
        <v>912</v>
      </c>
      <c r="L282" s="1" t="s">
        <v>21</v>
      </c>
      <c r="M282" s="2">
        <f t="shared" si="8"/>
        <v>358</v>
      </c>
      <c r="N282" s="5">
        <f t="shared" si="9"/>
        <v>0.86</v>
      </c>
      <c r="O282" s="17" t="s">
        <v>1209</v>
      </c>
    </row>
    <row r="283" spans="1:15" ht="18.75" x14ac:dyDescent="0.3">
      <c r="A283" s="1" t="s">
        <v>913</v>
      </c>
      <c r="B283" s="1" t="s">
        <v>125</v>
      </c>
      <c r="C283" s="1" t="s">
        <v>126</v>
      </c>
      <c r="D283" s="3">
        <v>599</v>
      </c>
      <c r="E283" s="2">
        <v>380</v>
      </c>
      <c r="F283" s="4">
        <v>0.36</v>
      </c>
      <c r="G283">
        <v>3.4</v>
      </c>
      <c r="H283" s="1" t="s">
        <v>29</v>
      </c>
      <c r="I283" s="1" t="s">
        <v>1168</v>
      </c>
      <c r="J283" s="1" t="s">
        <v>1177</v>
      </c>
      <c r="K283" s="1" t="s">
        <v>69</v>
      </c>
      <c r="L283" s="1" t="s">
        <v>21</v>
      </c>
      <c r="M283" s="2">
        <f t="shared" si="8"/>
        <v>979</v>
      </c>
      <c r="N283" s="5">
        <f t="shared" si="9"/>
        <v>0.86</v>
      </c>
      <c r="O283" s="17" t="s">
        <v>1209</v>
      </c>
    </row>
    <row r="284" spans="1:15" ht="18.75" x14ac:dyDescent="0.3">
      <c r="A284" s="1" t="s">
        <v>916</v>
      </c>
      <c r="B284" s="1" t="s">
        <v>917</v>
      </c>
      <c r="C284" s="1" t="s">
        <v>918</v>
      </c>
      <c r="D284" s="3">
        <v>491</v>
      </c>
      <c r="E284" s="2">
        <v>167</v>
      </c>
      <c r="F284" s="4">
        <v>0.65</v>
      </c>
      <c r="G284">
        <v>4.5</v>
      </c>
      <c r="H284" s="1" t="s">
        <v>29</v>
      </c>
      <c r="I284" s="1" t="s">
        <v>1174</v>
      </c>
      <c r="J284" s="1" t="s">
        <v>1177</v>
      </c>
      <c r="K284" s="1" t="s">
        <v>921</v>
      </c>
      <c r="L284" s="1" t="s">
        <v>21</v>
      </c>
      <c r="M284" s="2">
        <f t="shared" si="8"/>
        <v>658</v>
      </c>
      <c r="N284" s="5">
        <f t="shared" si="9"/>
        <v>0.86</v>
      </c>
      <c r="O284" s="17" t="s">
        <v>1208</v>
      </c>
    </row>
    <row r="285" spans="1:15" ht="18.75" x14ac:dyDescent="0.3">
      <c r="A285" s="1" t="s">
        <v>922</v>
      </c>
      <c r="B285" s="1" t="s">
        <v>43</v>
      </c>
      <c r="C285" s="1" t="s">
        <v>44</v>
      </c>
      <c r="D285" s="3">
        <v>449</v>
      </c>
      <c r="E285" s="2">
        <v>349</v>
      </c>
      <c r="F285" s="4">
        <v>0.22</v>
      </c>
      <c r="G285">
        <v>4.3</v>
      </c>
      <c r="H285" s="1" t="s">
        <v>29</v>
      </c>
      <c r="I285" s="1" t="s">
        <v>1167</v>
      </c>
      <c r="J285" s="1" t="s">
        <v>1178</v>
      </c>
      <c r="K285" s="1" t="s">
        <v>41</v>
      </c>
      <c r="L285" s="1" t="s">
        <v>21</v>
      </c>
      <c r="M285" s="2">
        <f t="shared" si="8"/>
        <v>798</v>
      </c>
      <c r="N285" s="5">
        <f t="shared" si="9"/>
        <v>0.86</v>
      </c>
      <c r="O285" s="17" t="s">
        <v>1209</v>
      </c>
    </row>
    <row r="286" spans="1:15" ht="18.75" x14ac:dyDescent="0.3">
      <c r="A286" s="1" t="s">
        <v>923</v>
      </c>
      <c r="B286" s="1" t="s">
        <v>49</v>
      </c>
      <c r="C286" s="1" t="s">
        <v>50</v>
      </c>
      <c r="D286" s="3">
        <v>945</v>
      </c>
      <c r="E286" s="2">
        <v>130</v>
      </c>
      <c r="F286" s="4">
        <v>0.86</v>
      </c>
      <c r="G286">
        <v>3.4</v>
      </c>
      <c r="H286" s="1" t="s">
        <v>29</v>
      </c>
      <c r="I286" s="1" t="s">
        <v>1168</v>
      </c>
      <c r="J286" s="1" t="s">
        <v>1177</v>
      </c>
      <c r="K286" s="1" t="s">
        <v>452</v>
      </c>
      <c r="L286" s="1" t="s">
        <v>21</v>
      </c>
      <c r="M286" s="2">
        <f t="shared" si="8"/>
        <v>1075</v>
      </c>
      <c r="N286" s="5">
        <f t="shared" si="9"/>
        <v>0.86</v>
      </c>
      <c r="O286" s="17" t="s">
        <v>1209</v>
      </c>
    </row>
    <row r="287" spans="1:15" ht="18.75" x14ac:dyDescent="0.3">
      <c r="A287" s="1" t="s">
        <v>925</v>
      </c>
      <c r="B287" s="1" t="s">
        <v>926</v>
      </c>
      <c r="C287" s="1" t="s">
        <v>927</v>
      </c>
      <c r="D287" s="3">
        <v>499</v>
      </c>
      <c r="E287" s="2">
        <v>426</v>
      </c>
      <c r="F287" s="4">
        <v>0.14000000000000001</v>
      </c>
      <c r="G287">
        <v>4.3</v>
      </c>
      <c r="H287" s="1" t="s">
        <v>29</v>
      </c>
      <c r="I287" s="1" t="s">
        <v>1172</v>
      </c>
      <c r="J287" s="1" t="s">
        <v>1178</v>
      </c>
      <c r="K287" s="1" t="s">
        <v>41</v>
      </c>
      <c r="L287" s="1" t="s">
        <v>21</v>
      </c>
      <c r="M287" s="2">
        <f t="shared" si="8"/>
        <v>925</v>
      </c>
      <c r="N287" s="5">
        <f t="shared" si="9"/>
        <v>0.84</v>
      </c>
      <c r="O287" s="17" t="s">
        <v>1208</v>
      </c>
    </row>
    <row r="288" spans="1:15" ht="18.75" x14ac:dyDescent="0.3">
      <c r="A288" s="1" t="s">
        <v>928</v>
      </c>
      <c r="B288" s="1" t="s">
        <v>929</v>
      </c>
      <c r="C288" s="1" t="s">
        <v>930</v>
      </c>
      <c r="D288" s="3">
        <v>499</v>
      </c>
      <c r="E288" s="2">
        <v>147</v>
      </c>
      <c r="F288" s="4">
        <v>0.7</v>
      </c>
      <c r="G288">
        <v>3.3</v>
      </c>
      <c r="H288" s="1" t="s">
        <v>17</v>
      </c>
      <c r="I288" s="1" t="s">
        <v>1173</v>
      </c>
      <c r="J288" s="1" t="s">
        <v>1177</v>
      </c>
      <c r="K288" s="1" t="s">
        <v>88</v>
      </c>
      <c r="L288" s="1" t="s">
        <v>21</v>
      </c>
      <c r="M288" s="2">
        <f t="shared" si="8"/>
        <v>646</v>
      </c>
      <c r="N288" s="5">
        <f t="shared" si="9"/>
        <v>0.84</v>
      </c>
      <c r="O288" s="17" t="s">
        <v>1209</v>
      </c>
    </row>
    <row r="289" spans="1:15" ht="18.75" x14ac:dyDescent="0.3">
      <c r="A289" s="1" t="s">
        <v>931</v>
      </c>
      <c r="B289" s="1" t="s">
        <v>932</v>
      </c>
      <c r="C289" s="1" t="s">
        <v>933</v>
      </c>
      <c r="D289" s="3">
        <v>299</v>
      </c>
      <c r="E289" s="2">
        <v>150</v>
      </c>
      <c r="F289" s="4">
        <v>0.49</v>
      </c>
      <c r="G289">
        <v>3.4</v>
      </c>
      <c r="H289" s="1" t="s">
        <v>29</v>
      </c>
      <c r="I289" s="1" t="s">
        <v>1173</v>
      </c>
      <c r="J289" s="1" t="s">
        <v>1177</v>
      </c>
      <c r="K289" s="1" t="s">
        <v>88</v>
      </c>
      <c r="L289" s="1" t="s">
        <v>21</v>
      </c>
      <c r="M289" s="2">
        <f t="shared" si="8"/>
        <v>449</v>
      </c>
      <c r="N289" s="5">
        <f t="shared" si="9"/>
        <v>0.84</v>
      </c>
      <c r="O289" s="17" t="s">
        <v>1208</v>
      </c>
    </row>
    <row r="290" spans="1:15" ht="18.75" x14ac:dyDescent="0.3">
      <c r="A290" s="1" t="s">
        <v>934</v>
      </c>
      <c r="B290" s="1" t="s">
        <v>33</v>
      </c>
      <c r="C290" s="1" t="s">
        <v>34</v>
      </c>
      <c r="D290" s="3">
        <v>449</v>
      </c>
      <c r="E290" s="2">
        <v>384</v>
      </c>
      <c r="F290" s="4">
        <v>0.14000000000000001</v>
      </c>
      <c r="G290">
        <v>4.4000000000000004</v>
      </c>
      <c r="H290" s="1" t="s">
        <v>29</v>
      </c>
      <c r="I290" s="1" t="s">
        <v>1167</v>
      </c>
      <c r="J290" s="1" t="s">
        <v>1178</v>
      </c>
      <c r="K290" s="1" t="s">
        <v>41</v>
      </c>
      <c r="L290" s="1" t="s">
        <v>21</v>
      </c>
      <c r="M290" s="2">
        <f t="shared" si="8"/>
        <v>833</v>
      </c>
      <c r="N290" s="5">
        <f t="shared" si="9"/>
        <v>0.84</v>
      </c>
      <c r="O290" s="17" t="s">
        <v>1209</v>
      </c>
    </row>
    <row r="291" spans="1:15" ht="18.75" x14ac:dyDescent="0.3">
      <c r="A291" s="1" t="s">
        <v>935</v>
      </c>
      <c r="B291" s="1" t="s">
        <v>78</v>
      </c>
      <c r="C291" s="1" t="s">
        <v>79</v>
      </c>
      <c r="D291" s="3">
        <v>499</v>
      </c>
      <c r="E291" s="2">
        <v>335</v>
      </c>
      <c r="F291" s="4">
        <v>0.32</v>
      </c>
      <c r="G291">
        <v>4</v>
      </c>
      <c r="H291" s="1" t="s">
        <v>29</v>
      </c>
      <c r="I291" s="1" t="s">
        <v>1169</v>
      </c>
      <c r="J291" s="1" t="s">
        <v>1178</v>
      </c>
      <c r="K291" s="1" t="s">
        <v>41</v>
      </c>
      <c r="L291" s="1" t="s">
        <v>21</v>
      </c>
      <c r="M291" s="2">
        <f t="shared" si="8"/>
        <v>834</v>
      </c>
      <c r="N291" s="5">
        <f t="shared" si="9"/>
        <v>0.84</v>
      </c>
      <c r="O291" s="17" t="s">
        <v>1208</v>
      </c>
    </row>
    <row r="292" spans="1:15" ht="18.75" x14ac:dyDescent="0.3">
      <c r="A292" s="1" t="s">
        <v>936</v>
      </c>
      <c r="B292" s="1" t="s">
        <v>937</v>
      </c>
      <c r="C292" s="1" t="s">
        <v>938</v>
      </c>
      <c r="D292" s="3">
        <v>499</v>
      </c>
      <c r="E292" s="2">
        <v>165</v>
      </c>
      <c r="F292" s="4">
        <v>0.66</v>
      </c>
      <c r="G292">
        <v>4</v>
      </c>
      <c r="H292" s="1" t="s">
        <v>29</v>
      </c>
      <c r="I292" s="1" t="s">
        <v>1167</v>
      </c>
      <c r="J292" s="1" t="s">
        <v>1180</v>
      </c>
      <c r="K292" s="1" t="s">
        <v>591</v>
      </c>
      <c r="L292" s="1" t="s">
        <v>21</v>
      </c>
      <c r="M292" s="2">
        <f t="shared" si="8"/>
        <v>664</v>
      </c>
      <c r="N292" s="5">
        <f t="shared" si="9"/>
        <v>0.84</v>
      </c>
      <c r="O292" s="17" t="s">
        <v>1209</v>
      </c>
    </row>
    <row r="293" spans="1:15" ht="18.75" x14ac:dyDescent="0.3">
      <c r="A293" s="1" t="s">
        <v>939</v>
      </c>
      <c r="B293" s="1" t="s">
        <v>940</v>
      </c>
      <c r="C293" s="1" t="s">
        <v>941</v>
      </c>
      <c r="D293" s="3">
        <v>399</v>
      </c>
      <c r="E293" s="2">
        <v>150</v>
      </c>
      <c r="F293" s="4">
        <v>0.62</v>
      </c>
      <c r="G293">
        <v>4</v>
      </c>
      <c r="H293" s="1" t="s">
        <v>17</v>
      </c>
      <c r="I293" s="1" t="s">
        <v>1173</v>
      </c>
      <c r="J293" s="1" t="s">
        <v>1179</v>
      </c>
      <c r="K293" s="1" t="s">
        <v>258</v>
      </c>
      <c r="L293" s="1" t="s">
        <v>21</v>
      </c>
      <c r="M293" s="2">
        <f t="shared" si="8"/>
        <v>549</v>
      </c>
      <c r="N293" s="5">
        <f t="shared" si="9"/>
        <v>0.84</v>
      </c>
      <c r="O293" s="17" t="s">
        <v>1209</v>
      </c>
    </row>
    <row r="294" spans="1:15" ht="18.75" x14ac:dyDescent="0.3">
      <c r="A294" s="1" t="s">
        <v>942</v>
      </c>
      <c r="B294" s="1" t="s">
        <v>78</v>
      </c>
      <c r="C294" s="1" t="s">
        <v>79</v>
      </c>
      <c r="D294" s="3">
        <v>749</v>
      </c>
      <c r="E294" s="2">
        <v>516</v>
      </c>
      <c r="F294" s="4">
        <v>0.31</v>
      </c>
      <c r="G294">
        <v>3.6</v>
      </c>
      <c r="H294" s="1" t="s">
        <v>29</v>
      </c>
      <c r="I294" s="1" t="s">
        <v>1169</v>
      </c>
      <c r="J294" s="1" t="s">
        <v>1178</v>
      </c>
      <c r="K294" s="1" t="s">
        <v>41</v>
      </c>
      <c r="L294" s="1" t="s">
        <v>21</v>
      </c>
      <c r="M294" s="2">
        <f t="shared" si="8"/>
        <v>1265</v>
      </c>
      <c r="N294" s="5">
        <f t="shared" si="9"/>
        <v>0.84</v>
      </c>
      <c r="O294" s="17" t="s">
        <v>1209</v>
      </c>
    </row>
    <row r="295" spans="1:15" ht="18.75" x14ac:dyDescent="0.3">
      <c r="A295" s="1" t="s">
        <v>943</v>
      </c>
      <c r="B295" s="1" t="s">
        <v>101</v>
      </c>
      <c r="C295" s="1" t="s">
        <v>102</v>
      </c>
      <c r="D295" s="3">
        <v>549</v>
      </c>
      <c r="E295" s="2">
        <v>388</v>
      </c>
      <c r="F295" s="4">
        <v>0.28999999999999998</v>
      </c>
      <c r="G295">
        <v>4.3</v>
      </c>
      <c r="H295" s="1" t="s">
        <v>29</v>
      </c>
      <c r="I295" s="1" t="s">
        <v>1171</v>
      </c>
      <c r="J295" s="1" t="s">
        <v>1178</v>
      </c>
      <c r="K295" s="1" t="s">
        <v>41</v>
      </c>
      <c r="L295" s="1" t="s">
        <v>21</v>
      </c>
      <c r="M295" s="2">
        <f t="shared" si="8"/>
        <v>937</v>
      </c>
      <c r="N295" s="5">
        <f t="shared" si="9"/>
        <v>0.84</v>
      </c>
      <c r="O295" s="17" t="s">
        <v>1209</v>
      </c>
    </row>
    <row r="296" spans="1:15" ht="18.75" x14ac:dyDescent="0.3">
      <c r="A296" s="1" t="s">
        <v>944</v>
      </c>
      <c r="B296" s="1" t="s">
        <v>929</v>
      </c>
      <c r="C296" s="1" t="s">
        <v>945</v>
      </c>
      <c r="D296" s="3">
        <v>499</v>
      </c>
      <c r="E296" s="2">
        <v>169</v>
      </c>
      <c r="F296" s="4">
        <v>0.66</v>
      </c>
      <c r="G296">
        <v>4</v>
      </c>
      <c r="H296" s="1" t="s">
        <v>17</v>
      </c>
      <c r="I296" s="1" t="s">
        <v>1173</v>
      </c>
      <c r="J296" s="1" t="s">
        <v>1180</v>
      </c>
      <c r="K296" s="1" t="s">
        <v>258</v>
      </c>
      <c r="L296" s="1" t="s">
        <v>21</v>
      </c>
      <c r="M296" s="2">
        <f t="shared" si="8"/>
        <v>668</v>
      </c>
      <c r="N296" s="5">
        <f t="shared" si="9"/>
        <v>0.84</v>
      </c>
      <c r="O296" s="17" t="s">
        <v>1208</v>
      </c>
    </row>
    <row r="297" spans="1:15" ht="18.75" x14ac:dyDescent="0.3">
      <c r="A297" s="1" t="s">
        <v>946</v>
      </c>
      <c r="B297" s="1" t="s">
        <v>947</v>
      </c>
      <c r="C297" s="1" t="s">
        <v>948</v>
      </c>
      <c r="D297" s="3">
        <v>499</v>
      </c>
      <c r="E297" s="2">
        <v>160</v>
      </c>
      <c r="F297" s="4">
        <v>0.67</v>
      </c>
      <c r="G297">
        <v>4</v>
      </c>
      <c r="H297" s="1" t="s">
        <v>17</v>
      </c>
      <c r="I297" s="1" t="s">
        <v>1174</v>
      </c>
      <c r="J297" s="1" t="s">
        <v>1177</v>
      </c>
      <c r="K297" s="1" t="s">
        <v>55</v>
      </c>
      <c r="L297" s="1" t="s">
        <v>21</v>
      </c>
      <c r="M297" s="2">
        <f t="shared" si="8"/>
        <v>659</v>
      </c>
      <c r="N297" s="5">
        <f t="shared" si="9"/>
        <v>0.84</v>
      </c>
      <c r="O297" s="17" t="s">
        <v>1209</v>
      </c>
    </row>
    <row r="298" spans="1:15" ht="18.75" x14ac:dyDescent="0.3">
      <c r="A298" s="1" t="s">
        <v>949</v>
      </c>
      <c r="B298" s="1" t="s">
        <v>950</v>
      </c>
      <c r="C298" s="1" t="s">
        <v>951</v>
      </c>
      <c r="D298" s="3">
        <v>249</v>
      </c>
      <c r="E298" s="2">
        <v>145</v>
      </c>
      <c r="F298" s="4">
        <v>0.41</v>
      </c>
      <c r="G298">
        <v>3.7</v>
      </c>
      <c r="H298" s="1" t="s">
        <v>17</v>
      </c>
      <c r="I298" s="1" t="s">
        <v>1173</v>
      </c>
      <c r="J298" s="1" t="s">
        <v>1177</v>
      </c>
      <c r="K298" s="1" t="s">
        <v>55</v>
      </c>
      <c r="L298" s="1" t="s">
        <v>21</v>
      </c>
      <c r="M298" s="2">
        <f t="shared" si="8"/>
        <v>394</v>
      </c>
      <c r="N298" s="5">
        <f t="shared" si="9"/>
        <v>0.84</v>
      </c>
      <c r="O298" s="17" t="s">
        <v>1209</v>
      </c>
    </row>
    <row r="299" spans="1:15" ht="18.75" x14ac:dyDescent="0.3">
      <c r="A299" s="1" t="s">
        <v>952</v>
      </c>
      <c r="B299" s="1" t="s">
        <v>953</v>
      </c>
      <c r="C299" s="1" t="s">
        <v>954</v>
      </c>
      <c r="D299" s="3">
        <v>299</v>
      </c>
      <c r="E299" s="2">
        <v>167</v>
      </c>
      <c r="F299" s="4">
        <v>0.44</v>
      </c>
      <c r="G299">
        <v>2.1</v>
      </c>
      <c r="H299" s="1" t="s">
        <v>29</v>
      </c>
      <c r="I299" s="1" t="s">
        <v>1175</v>
      </c>
      <c r="J299" s="1" t="s">
        <v>1178</v>
      </c>
      <c r="K299" s="1" t="s">
        <v>55</v>
      </c>
      <c r="L299" s="1" t="s">
        <v>21</v>
      </c>
      <c r="M299" s="2">
        <f t="shared" si="8"/>
        <v>466</v>
      </c>
      <c r="N299" s="5">
        <f t="shared" si="9"/>
        <v>0.84</v>
      </c>
      <c r="O299" s="17" t="s">
        <v>1209</v>
      </c>
    </row>
    <row r="300" spans="1:15" ht="18.75" x14ac:dyDescent="0.3">
      <c r="A300" s="1" t="s">
        <v>956</v>
      </c>
      <c r="B300" s="1" t="s">
        <v>43</v>
      </c>
      <c r="C300" s="1" t="s">
        <v>44</v>
      </c>
      <c r="D300" s="3">
        <v>449</v>
      </c>
      <c r="E300" s="2">
        <v>349</v>
      </c>
      <c r="F300" s="4">
        <v>0.22</v>
      </c>
      <c r="G300">
        <v>4.3</v>
      </c>
      <c r="H300" s="1" t="s">
        <v>29</v>
      </c>
      <c r="I300" s="1" t="s">
        <v>1167</v>
      </c>
      <c r="J300" s="1" t="s">
        <v>1178</v>
      </c>
      <c r="K300" s="1" t="s">
        <v>41</v>
      </c>
      <c r="L300" s="1" t="s">
        <v>21</v>
      </c>
      <c r="M300" s="2">
        <f t="shared" si="8"/>
        <v>798</v>
      </c>
      <c r="N300" s="5">
        <f t="shared" si="9"/>
        <v>0.84</v>
      </c>
      <c r="O300" s="17" t="s">
        <v>1209</v>
      </c>
    </row>
    <row r="301" spans="1:15" ht="18.75" x14ac:dyDescent="0.3">
      <c r="A301" s="1" t="s">
        <v>957</v>
      </c>
      <c r="B301" s="1" t="s">
        <v>43</v>
      </c>
      <c r="C301" s="1" t="s">
        <v>44</v>
      </c>
      <c r="D301" s="3">
        <v>449</v>
      </c>
      <c r="E301" s="2">
        <v>349</v>
      </c>
      <c r="F301" s="4">
        <v>0.22</v>
      </c>
      <c r="G301">
        <v>4.3</v>
      </c>
      <c r="H301" s="1" t="s">
        <v>29</v>
      </c>
      <c r="I301" s="1" t="s">
        <v>1167</v>
      </c>
      <c r="J301" s="1" t="s">
        <v>1178</v>
      </c>
      <c r="K301" s="1" t="s">
        <v>41</v>
      </c>
      <c r="L301" s="1" t="s">
        <v>21</v>
      </c>
      <c r="M301" s="2">
        <f t="shared" si="8"/>
        <v>798</v>
      </c>
      <c r="N301" s="5">
        <f t="shared" si="9"/>
        <v>0.84</v>
      </c>
      <c r="O301" s="17" t="s">
        <v>1209</v>
      </c>
    </row>
    <row r="302" spans="1:15" ht="18.75" x14ac:dyDescent="0.3">
      <c r="A302" s="1" t="s">
        <v>958</v>
      </c>
      <c r="B302" s="1" t="s">
        <v>120</v>
      </c>
      <c r="C302" s="1" t="s">
        <v>121</v>
      </c>
      <c r="D302" s="3">
        <v>399</v>
      </c>
      <c r="E302" s="2">
        <v>145</v>
      </c>
      <c r="F302" s="4">
        <v>0.63</v>
      </c>
      <c r="G302">
        <v>3.3</v>
      </c>
      <c r="H302" s="1" t="s">
        <v>17</v>
      </c>
      <c r="I302" s="1" t="s">
        <v>1168</v>
      </c>
      <c r="J302" s="1" t="s">
        <v>1177</v>
      </c>
      <c r="K302" s="1" t="s">
        <v>258</v>
      </c>
      <c r="L302" s="1" t="s">
        <v>21</v>
      </c>
      <c r="M302" s="2">
        <f t="shared" si="8"/>
        <v>544</v>
      </c>
      <c r="N302" s="5">
        <f t="shared" si="9"/>
        <v>0.84</v>
      </c>
      <c r="O302" s="17" t="s">
        <v>1208</v>
      </c>
    </row>
    <row r="303" spans="1:15" ht="18.75" x14ac:dyDescent="0.3">
      <c r="A303" s="1" t="s">
        <v>959</v>
      </c>
      <c r="B303" s="1" t="s">
        <v>120</v>
      </c>
      <c r="C303" s="1" t="s">
        <v>121</v>
      </c>
      <c r="D303" s="3">
        <v>249</v>
      </c>
      <c r="E303" s="2">
        <v>145</v>
      </c>
      <c r="F303" s="4">
        <v>0.41</v>
      </c>
      <c r="G303">
        <v>3.3</v>
      </c>
      <c r="H303" s="1" t="s">
        <v>17</v>
      </c>
      <c r="I303" s="1" t="s">
        <v>1168</v>
      </c>
      <c r="J303" s="1" t="s">
        <v>1177</v>
      </c>
      <c r="K303" s="1" t="s">
        <v>55</v>
      </c>
      <c r="L303" s="1" t="s">
        <v>21</v>
      </c>
      <c r="M303" s="2">
        <f t="shared" si="8"/>
        <v>394</v>
      </c>
      <c r="N303" s="5">
        <f t="shared" si="9"/>
        <v>0.84</v>
      </c>
      <c r="O303" s="17" t="s">
        <v>1208</v>
      </c>
    </row>
    <row r="304" spans="1:15" ht="18.75" x14ac:dyDescent="0.3">
      <c r="A304" s="1" t="s">
        <v>960</v>
      </c>
      <c r="B304" s="1" t="s">
        <v>78</v>
      </c>
      <c r="C304" s="1" t="s">
        <v>79</v>
      </c>
      <c r="D304" s="3">
        <v>499</v>
      </c>
      <c r="E304" s="2">
        <v>424</v>
      </c>
      <c r="F304" s="4">
        <v>0.15</v>
      </c>
      <c r="G304">
        <v>4.3</v>
      </c>
      <c r="H304" s="1" t="s">
        <v>29</v>
      </c>
      <c r="I304" s="1" t="s">
        <v>1169</v>
      </c>
      <c r="J304" s="1" t="s">
        <v>1178</v>
      </c>
      <c r="K304" s="1" t="s">
        <v>41</v>
      </c>
      <c r="L304" s="1" t="s">
        <v>21</v>
      </c>
      <c r="M304" s="2">
        <f t="shared" si="8"/>
        <v>923</v>
      </c>
      <c r="N304" s="5">
        <f t="shared" si="9"/>
        <v>0.84</v>
      </c>
      <c r="O304" s="17" t="s">
        <v>1208</v>
      </c>
    </row>
    <row r="305" spans="1:15" ht="18.75" x14ac:dyDescent="0.3">
      <c r="A305" s="1" t="s">
        <v>961</v>
      </c>
      <c r="B305" s="1" t="s">
        <v>33</v>
      </c>
      <c r="C305" s="1" t="s">
        <v>34</v>
      </c>
      <c r="D305" s="3">
        <v>449</v>
      </c>
      <c r="E305" s="2">
        <v>359</v>
      </c>
      <c r="F305" s="4">
        <v>0.2</v>
      </c>
      <c r="G305">
        <v>4.4000000000000004</v>
      </c>
      <c r="H305" s="1" t="s">
        <v>29</v>
      </c>
      <c r="I305" s="1" t="s">
        <v>1167</v>
      </c>
      <c r="J305" s="1" t="s">
        <v>1178</v>
      </c>
      <c r="K305" s="1" t="s">
        <v>41</v>
      </c>
      <c r="L305" s="1" t="s">
        <v>21</v>
      </c>
      <c r="M305" s="2">
        <f t="shared" si="8"/>
        <v>808</v>
      </c>
      <c r="N305" s="5">
        <f t="shared" si="9"/>
        <v>0.84</v>
      </c>
      <c r="O305" s="17" t="s">
        <v>1209</v>
      </c>
    </row>
    <row r="306" spans="1:15" ht="18.75" x14ac:dyDescent="0.3">
      <c r="A306" s="1" t="s">
        <v>962</v>
      </c>
      <c r="B306" s="1" t="s">
        <v>120</v>
      </c>
      <c r="C306" s="1" t="s">
        <v>121</v>
      </c>
      <c r="D306" s="3">
        <v>199</v>
      </c>
      <c r="E306" s="2">
        <v>144</v>
      </c>
      <c r="F306" s="4">
        <v>0.27</v>
      </c>
      <c r="G306">
        <v>3.4</v>
      </c>
      <c r="H306" s="1" t="s">
        <v>17</v>
      </c>
      <c r="I306" s="1" t="s">
        <v>1168</v>
      </c>
      <c r="J306" s="1" t="s">
        <v>1177</v>
      </c>
      <c r="K306" s="1" t="s">
        <v>88</v>
      </c>
      <c r="L306" s="1" t="s">
        <v>21</v>
      </c>
      <c r="M306" s="2">
        <f t="shared" si="8"/>
        <v>343</v>
      </c>
      <c r="N306" s="5">
        <f t="shared" si="9"/>
        <v>0.84</v>
      </c>
      <c r="O306" s="17" t="s">
        <v>1208</v>
      </c>
    </row>
    <row r="307" spans="1:15" ht="18.75" x14ac:dyDescent="0.3">
      <c r="A307" s="1" t="s">
        <v>963</v>
      </c>
      <c r="B307" s="1" t="s">
        <v>139</v>
      </c>
      <c r="C307" s="1" t="s">
        <v>140</v>
      </c>
      <c r="D307" s="3">
        <v>399</v>
      </c>
      <c r="E307" s="2">
        <v>135</v>
      </c>
      <c r="F307" s="4">
        <v>0.66</v>
      </c>
      <c r="G307">
        <v>4</v>
      </c>
      <c r="H307" s="1" t="s">
        <v>17</v>
      </c>
      <c r="I307" s="1" t="s">
        <v>1173</v>
      </c>
      <c r="J307" s="1" t="s">
        <v>1177</v>
      </c>
      <c r="K307" s="1" t="s">
        <v>88</v>
      </c>
      <c r="L307" s="1" t="s">
        <v>21</v>
      </c>
      <c r="M307" s="2">
        <f t="shared" si="8"/>
        <v>534</v>
      </c>
      <c r="N307" s="5">
        <f t="shared" si="9"/>
        <v>0.84</v>
      </c>
      <c r="O307" s="17" t="s">
        <v>1208</v>
      </c>
    </row>
    <row r="308" spans="1:15" ht="18.75" x14ac:dyDescent="0.3">
      <c r="A308" s="1" t="s">
        <v>964</v>
      </c>
      <c r="B308" s="1" t="s">
        <v>965</v>
      </c>
      <c r="C308" s="1" t="s">
        <v>966</v>
      </c>
      <c r="D308" s="3">
        <v>499</v>
      </c>
      <c r="E308" s="2">
        <v>135</v>
      </c>
      <c r="F308" s="4">
        <v>0.72</v>
      </c>
      <c r="G308">
        <v>4</v>
      </c>
      <c r="H308" s="1" t="s">
        <v>17</v>
      </c>
      <c r="I308" s="1" t="s">
        <v>1168</v>
      </c>
      <c r="J308" s="1" t="s">
        <v>1179</v>
      </c>
      <c r="K308" s="1" t="s">
        <v>258</v>
      </c>
      <c r="L308" s="1" t="s">
        <v>21</v>
      </c>
      <c r="M308" s="2">
        <f t="shared" si="8"/>
        <v>634</v>
      </c>
      <c r="N308" s="5">
        <f t="shared" si="9"/>
        <v>0.84</v>
      </c>
      <c r="O308" s="17" t="s">
        <v>1209</v>
      </c>
    </row>
    <row r="309" spans="1:15" ht="18.75" x14ac:dyDescent="0.3">
      <c r="A309" s="1" t="s">
        <v>967</v>
      </c>
      <c r="B309" s="1" t="s">
        <v>120</v>
      </c>
      <c r="C309" s="1" t="s">
        <v>121</v>
      </c>
      <c r="D309" s="3">
        <v>499</v>
      </c>
      <c r="E309" s="2">
        <v>135</v>
      </c>
      <c r="F309" s="4">
        <v>0.72</v>
      </c>
      <c r="G309">
        <v>4</v>
      </c>
      <c r="H309" s="1" t="s">
        <v>17</v>
      </c>
      <c r="I309" s="1" t="s">
        <v>1168</v>
      </c>
      <c r="J309" s="1" t="s">
        <v>1177</v>
      </c>
      <c r="K309" s="1" t="s">
        <v>258</v>
      </c>
      <c r="L309" s="1" t="s">
        <v>21</v>
      </c>
      <c r="M309" s="2">
        <f t="shared" si="8"/>
        <v>634</v>
      </c>
      <c r="N309" s="5">
        <f t="shared" si="9"/>
        <v>0.84</v>
      </c>
      <c r="O309" s="17" t="s">
        <v>1209</v>
      </c>
    </row>
    <row r="310" spans="1:15" ht="18.75" x14ac:dyDescent="0.3">
      <c r="A310" s="1" t="s">
        <v>968</v>
      </c>
      <c r="B310" s="1" t="s">
        <v>78</v>
      </c>
      <c r="C310" s="1" t="s">
        <v>79</v>
      </c>
      <c r="D310" s="3">
        <v>449</v>
      </c>
      <c r="E310" s="2">
        <v>335</v>
      </c>
      <c r="F310" s="4">
        <v>0.25</v>
      </c>
      <c r="G310">
        <v>4</v>
      </c>
      <c r="H310" s="1" t="s">
        <v>29</v>
      </c>
      <c r="I310" s="1" t="s">
        <v>1169</v>
      </c>
      <c r="J310" s="1" t="s">
        <v>1178</v>
      </c>
      <c r="K310" s="1" t="s">
        <v>41</v>
      </c>
      <c r="L310" s="1" t="s">
        <v>21</v>
      </c>
      <c r="M310" s="2">
        <f t="shared" si="8"/>
        <v>784</v>
      </c>
      <c r="N310" s="5">
        <f t="shared" si="9"/>
        <v>0.84</v>
      </c>
      <c r="O310" s="17" t="s">
        <v>1209</v>
      </c>
    </row>
    <row r="311" spans="1:15" ht="18.75" x14ac:dyDescent="0.3">
      <c r="A311" s="1" t="s">
        <v>969</v>
      </c>
      <c r="B311" s="1" t="s">
        <v>78</v>
      </c>
      <c r="C311" s="1" t="s">
        <v>79</v>
      </c>
      <c r="D311" s="3">
        <v>499</v>
      </c>
      <c r="E311" s="2">
        <v>426</v>
      </c>
      <c r="F311" s="4">
        <v>0.14000000000000001</v>
      </c>
      <c r="G311">
        <v>4.2</v>
      </c>
      <c r="H311" s="1" t="s">
        <v>29</v>
      </c>
      <c r="I311" s="1" t="s">
        <v>1169</v>
      </c>
      <c r="J311" s="1" t="s">
        <v>1178</v>
      </c>
      <c r="K311" s="1" t="s">
        <v>41</v>
      </c>
      <c r="L311" s="1" t="s">
        <v>21</v>
      </c>
      <c r="M311" s="2">
        <f t="shared" si="8"/>
        <v>925</v>
      </c>
      <c r="N311" s="5">
        <f t="shared" si="9"/>
        <v>0.84</v>
      </c>
      <c r="O311" s="17" t="s">
        <v>1209</v>
      </c>
    </row>
    <row r="312" spans="1:15" ht="18.75" x14ac:dyDescent="0.3">
      <c r="A312" s="1" t="s">
        <v>970</v>
      </c>
      <c r="B312" s="1" t="s">
        <v>929</v>
      </c>
      <c r="C312" s="1" t="s">
        <v>930</v>
      </c>
      <c r="D312" s="3">
        <v>499</v>
      </c>
      <c r="E312" s="2">
        <v>142</v>
      </c>
      <c r="F312" s="4">
        <v>0.71</v>
      </c>
      <c r="G312">
        <v>4</v>
      </c>
      <c r="H312" s="1" t="s">
        <v>29</v>
      </c>
      <c r="I312" s="1" t="s">
        <v>1173</v>
      </c>
      <c r="J312" s="1" t="s">
        <v>1183</v>
      </c>
      <c r="K312" s="1" t="s">
        <v>258</v>
      </c>
      <c r="L312" s="1" t="s">
        <v>21</v>
      </c>
      <c r="M312" s="2">
        <f t="shared" si="8"/>
        <v>641</v>
      </c>
      <c r="N312" s="5">
        <f t="shared" si="9"/>
        <v>0.84</v>
      </c>
      <c r="O312" s="17" t="s">
        <v>1209</v>
      </c>
    </row>
    <row r="313" spans="1:15" ht="18.75" x14ac:dyDescent="0.3">
      <c r="A313" s="1" t="s">
        <v>972</v>
      </c>
      <c r="B313" s="1" t="s">
        <v>120</v>
      </c>
      <c r="C313" s="1" t="s">
        <v>121</v>
      </c>
      <c r="D313" s="3">
        <v>499</v>
      </c>
      <c r="E313" s="2">
        <v>132</v>
      </c>
      <c r="F313" s="4">
        <v>0.73</v>
      </c>
      <c r="G313">
        <v>4</v>
      </c>
      <c r="H313" s="1" t="s">
        <v>17</v>
      </c>
      <c r="I313" s="1" t="s">
        <v>1168</v>
      </c>
      <c r="J313" s="1" t="s">
        <v>1180</v>
      </c>
      <c r="K313" s="1" t="s">
        <v>258</v>
      </c>
      <c r="L313" s="1" t="s">
        <v>21</v>
      </c>
      <c r="M313" s="2">
        <f t="shared" si="8"/>
        <v>631</v>
      </c>
      <c r="N313" s="5">
        <f t="shared" si="9"/>
        <v>0.84</v>
      </c>
      <c r="O313" s="17" t="s">
        <v>1208</v>
      </c>
    </row>
    <row r="314" spans="1:15" ht="18.75" x14ac:dyDescent="0.3">
      <c r="A314" s="1" t="s">
        <v>973</v>
      </c>
      <c r="B314" s="1" t="s">
        <v>78</v>
      </c>
      <c r="C314" s="1" t="s">
        <v>79</v>
      </c>
      <c r="D314" s="3">
        <v>499</v>
      </c>
      <c r="E314" s="2">
        <v>335</v>
      </c>
      <c r="F314" s="4">
        <v>0.32</v>
      </c>
      <c r="G314">
        <v>4</v>
      </c>
      <c r="H314" s="1" t="s">
        <v>29</v>
      </c>
      <c r="I314" s="1" t="s">
        <v>1169</v>
      </c>
      <c r="J314" s="1" t="s">
        <v>1178</v>
      </c>
      <c r="K314" s="1" t="s">
        <v>41</v>
      </c>
      <c r="L314" s="1" t="s">
        <v>21</v>
      </c>
      <c r="M314" s="2">
        <f t="shared" si="8"/>
        <v>834</v>
      </c>
      <c r="N314" s="5">
        <f t="shared" si="9"/>
        <v>0.84</v>
      </c>
      <c r="O314" s="17" t="s">
        <v>1209</v>
      </c>
    </row>
    <row r="315" spans="1:15" ht="18.75" x14ac:dyDescent="0.3">
      <c r="A315" s="1" t="s">
        <v>974</v>
      </c>
      <c r="B315" s="1" t="s">
        <v>33</v>
      </c>
      <c r="C315" s="1" t="s">
        <v>34</v>
      </c>
      <c r="D315" s="3">
        <v>445</v>
      </c>
      <c r="E315" s="2">
        <v>335</v>
      </c>
      <c r="F315" s="4">
        <v>0.24</v>
      </c>
      <c r="G315">
        <v>4.4000000000000004</v>
      </c>
      <c r="H315" s="1" t="s">
        <v>29</v>
      </c>
      <c r="I315" s="1" t="s">
        <v>1167</v>
      </c>
      <c r="J315" s="1" t="s">
        <v>1178</v>
      </c>
      <c r="K315" s="1" t="s">
        <v>41</v>
      </c>
      <c r="L315" s="1" t="s">
        <v>21</v>
      </c>
      <c r="M315" s="2">
        <f t="shared" si="8"/>
        <v>780</v>
      </c>
      <c r="N315" s="5">
        <f t="shared" si="9"/>
        <v>0.84</v>
      </c>
      <c r="O315" s="17" t="s">
        <v>1208</v>
      </c>
    </row>
    <row r="316" spans="1:15" ht="18.75" x14ac:dyDescent="0.3">
      <c r="A316" s="1" t="s">
        <v>975</v>
      </c>
      <c r="B316" s="1" t="s">
        <v>120</v>
      </c>
      <c r="C316" s="1" t="s">
        <v>121</v>
      </c>
      <c r="D316" s="3">
        <v>499</v>
      </c>
      <c r="E316" s="2">
        <v>132</v>
      </c>
      <c r="F316" s="4">
        <v>0.73</v>
      </c>
      <c r="G316">
        <v>4</v>
      </c>
      <c r="H316" s="1" t="s">
        <v>17</v>
      </c>
      <c r="I316" s="1" t="s">
        <v>1168</v>
      </c>
      <c r="J316" s="1" t="s">
        <v>1184</v>
      </c>
      <c r="K316" s="1" t="s">
        <v>258</v>
      </c>
      <c r="L316" s="1" t="s">
        <v>21</v>
      </c>
      <c r="M316" s="2">
        <f t="shared" si="8"/>
        <v>631</v>
      </c>
      <c r="N316" s="5">
        <f t="shared" si="9"/>
        <v>0.84</v>
      </c>
      <c r="O316" s="17" t="s">
        <v>1208</v>
      </c>
    </row>
    <row r="317" spans="1:15" ht="18.75" x14ac:dyDescent="0.3">
      <c r="A317" s="1" t="s">
        <v>977</v>
      </c>
      <c r="B317" s="1" t="s">
        <v>120</v>
      </c>
      <c r="C317" s="1" t="s">
        <v>121</v>
      </c>
      <c r="D317" s="3">
        <v>499</v>
      </c>
      <c r="E317" s="2">
        <v>132</v>
      </c>
      <c r="F317" s="4">
        <v>0.73</v>
      </c>
      <c r="G317">
        <v>4</v>
      </c>
      <c r="H317" s="1" t="s">
        <v>17</v>
      </c>
      <c r="I317" s="1" t="s">
        <v>1168</v>
      </c>
      <c r="J317" s="1" t="s">
        <v>1180</v>
      </c>
      <c r="K317" s="1" t="s">
        <v>258</v>
      </c>
      <c r="L317" s="1" t="s">
        <v>21</v>
      </c>
      <c r="M317" s="2">
        <f t="shared" si="8"/>
        <v>631</v>
      </c>
      <c r="N317" s="5">
        <f t="shared" si="9"/>
        <v>0.84</v>
      </c>
      <c r="O317" s="17" t="s">
        <v>1209</v>
      </c>
    </row>
    <row r="318" spans="1:15" ht="18.75" x14ac:dyDescent="0.3">
      <c r="A318" s="1" t="s">
        <v>978</v>
      </c>
      <c r="B318" s="1" t="s">
        <v>120</v>
      </c>
      <c r="C318" s="1" t="s">
        <v>121</v>
      </c>
      <c r="D318" s="3">
        <v>499</v>
      </c>
      <c r="E318" s="2">
        <v>142</v>
      </c>
      <c r="F318" s="4">
        <v>0.71</v>
      </c>
      <c r="G318">
        <v>4</v>
      </c>
      <c r="H318" s="1" t="s">
        <v>17</v>
      </c>
      <c r="I318" s="1" t="s">
        <v>1168</v>
      </c>
      <c r="J318" s="1" t="s">
        <v>1177</v>
      </c>
      <c r="K318" s="1" t="s">
        <v>258</v>
      </c>
      <c r="L318" s="1" t="s">
        <v>21</v>
      </c>
      <c r="M318" s="2">
        <f t="shared" si="8"/>
        <v>641</v>
      </c>
      <c r="N318" s="5">
        <f t="shared" si="9"/>
        <v>0.84</v>
      </c>
      <c r="O318" s="17" t="s">
        <v>1209</v>
      </c>
    </row>
    <row r="319" spans="1:15" ht="18.75" x14ac:dyDescent="0.3">
      <c r="A319" s="1" t="s">
        <v>979</v>
      </c>
      <c r="B319" s="1" t="s">
        <v>120</v>
      </c>
      <c r="C319" s="1" t="s">
        <v>121</v>
      </c>
      <c r="D319" s="3">
        <v>499</v>
      </c>
      <c r="E319" s="2">
        <v>142</v>
      </c>
      <c r="F319" s="4">
        <v>0.71</v>
      </c>
      <c r="G319">
        <v>4</v>
      </c>
      <c r="H319" s="1" t="s">
        <v>17</v>
      </c>
      <c r="I319" s="1" t="s">
        <v>1168</v>
      </c>
      <c r="J319" s="1" t="s">
        <v>1177</v>
      </c>
      <c r="K319" s="1" t="s">
        <v>258</v>
      </c>
      <c r="L319" s="1" t="s">
        <v>21</v>
      </c>
      <c r="M319" s="2">
        <f t="shared" si="8"/>
        <v>641</v>
      </c>
      <c r="N319" s="5">
        <f t="shared" si="9"/>
        <v>0.84</v>
      </c>
      <c r="O319" s="17" t="s">
        <v>1209</v>
      </c>
    </row>
    <row r="320" spans="1:15" ht="18.75" x14ac:dyDescent="0.3">
      <c r="A320" s="1" t="s">
        <v>980</v>
      </c>
      <c r="B320" s="1" t="s">
        <v>78</v>
      </c>
      <c r="C320" s="1" t="s">
        <v>79</v>
      </c>
      <c r="D320" s="3">
        <v>495</v>
      </c>
      <c r="E320" s="2">
        <v>331</v>
      </c>
      <c r="F320" s="4">
        <v>0.33</v>
      </c>
      <c r="G320">
        <v>4.0999999999999996</v>
      </c>
      <c r="H320" s="1" t="s">
        <v>29</v>
      </c>
      <c r="I320" s="1" t="s">
        <v>1169</v>
      </c>
      <c r="J320" s="1" t="s">
        <v>1178</v>
      </c>
      <c r="K320" s="1" t="s">
        <v>41</v>
      </c>
      <c r="L320" s="1" t="s">
        <v>21</v>
      </c>
      <c r="M320" s="2">
        <f t="shared" si="8"/>
        <v>826</v>
      </c>
      <c r="N320" s="5">
        <f t="shared" si="9"/>
        <v>0.84</v>
      </c>
      <c r="O320" s="17" t="s">
        <v>1209</v>
      </c>
    </row>
    <row r="321" spans="1:15" ht="18.75" x14ac:dyDescent="0.3">
      <c r="A321" s="1" t="s">
        <v>981</v>
      </c>
      <c r="B321" s="1" t="s">
        <v>78</v>
      </c>
      <c r="C321" s="1" t="s">
        <v>214</v>
      </c>
      <c r="D321" s="3">
        <v>349</v>
      </c>
      <c r="E321" s="2">
        <v>325</v>
      </c>
      <c r="F321" s="4">
        <v>0.06</v>
      </c>
      <c r="G321">
        <v>4</v>
      </c>
      <c r="H321" s="1" t="s">
        <v>29</v>
      </c>
      <c r="I321" s="1" t="s">
        <v>1169</v>
      </c>
      <c r="J321" s="1" t="s">
        <v>1178</v>
      </c>
      <c r="K321" s="1" t="s">
        <v>41</v>
      </c>
      <c r="L321" s="1" t="s">
        <v>21</v>
      </c>
      <c r="M321" s="2">
        <f t="shared" si="8"/>
        <v>674</v>
      </c>
      <c r="N321" s="5">
        <f t="shared" si="9"/>
        <v>0.84</v>
      </c>
      <c r="O321" s="17" t="s">
        <v>1209</v>
      </c>
    </row>
    <row r="322" spans="1:15" ht="18.75" x14ac:dyDescent="0.3">
      <c r="A322" s="1" t="s">
        <v>982</v>
      </c>
      <c r="B322" s="1" t="s">
        <v>218</v>
      </c>
      <c r="C322" s="1" t="s">
        <v>219</v>
      </c>
      <c r="D322" s="3">
        <v>499</v>
      </c>
      <c r="E322" s="2">
        <v>145</v>
      </c>
      <c r="F322" s="4">
        <v>0.7</v>
      </c>
      <c r="G322">
        <v>4</v>
      </c>
      <c r="H322" s="1" t="s">
        <v>17</v>
      </c>
      <c r="I322" s="1" t="s">
        <v>1173</v>
      </c>
      <c r="J322" s="1" t="s">
        <v>1177</v>
      </c>
      <c r="K322" s="1" t="s">
        <v>55</v>
      </c>
      <c r="L322" s="1" t="s">
        <v>21</v>
      </c>
      <c r="M322" s="2">
        <f t="shared" si="8"/>
        <v>644</v>
      </c>
      <c r="N322" s="5">
        <f t="shared" si="9"/>
        <v>0.84</v>
      </c>
      <c r="O322" s="17" t="s">
        <v>1209</v>
      </c>
    </row>
    <row r="323" spans="1:15" ht="18.75" x14ac:dyDescent="0.3">
      <c r="A323" s="1" t="s">
        <v>983</v>
      </c>
      <c r="B323" s="1" t="s">
        <v>120</v>
      </c>
      <c r="C323" s="1" t="s">
        <v>121</v>
      </c>
      <c r="D323" s="3">
        <v>499</v>
      </c>
      <c r="E323" s="2">
        <v>147</v>
      </c>
      <c r="F323" s="4">
        <v>0.7</v>
      </c>
      <c r="G323">
        <v>4</v>
      </c>
      <c r="H323" s="1" t="s">
        <v>17</v>
      </c>
      <c r="I323" s="1" t="s">
        <v>1168</v>
      </c>
      <c r="J323" s="1" t="s">
        <v>1177</v>
      </c>
      <c r="K323" s="1" t="s">
        <v>88</v>
      </c>
      <c r="L323" s="1" t="s">
        <v>21</v>
      </c>
      <c r="M323" s="2">
        <f t="shared" ref="M323:M386" si="10">SUM(D323,E323)</f>
        <v>646</v>
      </c>
      <c r="N323" s="5">
        <f t="shared" ref="N323:N386" si="11">MAX(F323:F762)</f>
        <v>0.84</v>
      </c>
      <c r="O323" s="17" t="s">
        <v>1209</v>
      </c>
    </row>
    <row r="324" spans="1:15" ht="18.75" x14ac:dyDescent="0.3">
      <c r="A324" s="1" t="s">
        <v>984</v>
      </c>
      <c r="B324" s="1" t="s">
        <v>985</v>
      </c>
      <c r="C324" s="1" t="s">
        <v>986</v>
      </c>
      <c r="D324" s="3">
        <v>622</v>
      </c>
      <c r="E324" s="2">
        <v>116</v>
      </c>
      <c r="F324" s="4">
        <v>0.81</v>
      </c>
      <c r="G324">
        <v>3.4</v>
      </c>
      <c r="H324" s="1" t="s">
        <v>29</v>
      </c>
      <c r="I324" s="1" t="s">
        <v>1173</v>
      </c>
      <c r="J324" s="1" t="s">
        <v>1180</v>
      </c>
      <c r="K324" s="1" t="s">
        <v>153</v>
      </c>
      <c r="L324" s="1" t="s">
        <v>21</v>
      </c>
      <c r="M324" s="2">
        <f t="shared" si="10"/>
        <v>738</v>
      </c>
      <c r="N324" s="5">
        <f t="shared" si="11"/>
        <v>0.84</v>
      </c>
      <c r="O324" s="17" t="s">
        <v>1208</v>
      </c>
    </row>
    <row r="325" spans="1:15" ht="18.75" x14ac:dyDescent="0.3">
      <c r="A325" s="1" t="s">
        <v>989</v>
      </c>
      <c r="B325" s="1" t="s">
        <v>43</v>
      </c>
      <c r="C325" s="1" t="s">
        <v>44</v>
      </c>
      <c r="D325" s="3">
        <v>449</v>
      </c>
      <c r="E325" s="2">
        <v>349</v>
      </c>
      <c r="F325" s="4">
        <v>0.22</v>
      </c>
      <c r="G325">
        <v>4.3</v>
      </c>
      <c r="H325" s="1" t="s">
        <v>29</v>
      </c>
      <c r="I325" s="1" t="s">
        <v>1167</v>
      </c>
      <c r="J325" s="1" t="s">
        <v>1178</v>
      </c>
      <c r="K325" s="1" t="s">
        <v>41</v>
      </c>
      <c r="L325" s="1" t="s">
        <v>21</v>
      </c>
      <c r="M325" s="2">
        <f t="shared" si="10"/>
        <v>798</v>
      </c>
      <c r="N325" s="5">
        <f t="shared" si="11"/>
        <v>0.84</v>
      </c>
      <c r="O325" s="17" t="s">
        <v>1209</v>
      </c>
    </row>
    <row r="326" spans="1:15" ht="18.75" x14ac:dyDescent="0.3">
      <c r="A326" s="1" t="s">
        <v>990</v>
      </c>
      <c r="B326" s="1" t="s">
        <v>991</v>
      </c>
      <c r="C326" s="1" t="s">
        <v>992</v>
      </c>
      <c r="D326" s="3">
        <v>379</v>
      </c>
      <c r="E326" s="2">
        <v>157</v>
      </c>
      <c r="F326" s="4">
        <v>0.57999999999999996</v>
      </c>
      <c r="G326">
        <v>3.6</v>
      </c>
      <c r="H326" s="1" t="s">
        <v>29</v>
      </c>
      <c r="I326" s="1" t="s">
        <v>1173</v>
      </c>
      <c r="J326" s="1" t="s">
        <v>1179</v>
      </c>
      <c r="K326" s="1" t="s">
        <v>169</v>
      </c>
      <c r="L326" s="1" t="s">
        <v>21</v>
      </c>
      <c r="M326" s="2">
        <f t="shared" si="10"/>
        <v>536</v>
      </c>
      <c r="N326" s="5">
        <f t="shared" si="11"/>
        <v>0.84</v>
      </c>
      <c r="O326" s="17" t="s">
        <v>1209</v>
      </c>
    </row>
    <row r="327" spans="1:15" ht="18.75" x14ac:dyDescent="0.3">
      <c r="A327" s="1" t="s">
        <v>994</v>
      </c>
      <c r="B327" s="1" t="s">
        <v>271</v>
      </c>
      <c r="C327" s="1" t="s">
        <v>272</v>
      </c>
      <c r="D327" s="3">
        <v>199</v>
      </c>
      <c r="E327" s="2">
        <v>137</v>
      </c>
      <c r="F327" s="4">
        <v>0.31</v>
      </c>
      <c r="G327">
        <v>4</v>
      </c>
      <c r="H327" s="1" t="s">
        <v>17</v>
      </c>
      <c r="I327" s="1" t="s">
        <v>1167</v>
      </c>
      <c r="J327" s="1" t="s">
        <v>1177</v>
      </c>
      <c r="K327" s="1" t="s">
        <v>258</v>
      </c>
      <c r="L327" s="1" t="s">
        <v>21</v>
      </c>
      <c r="M327" s="2">
        <f t="shared" si="10"/>
        <v>336</v>
      </c>
      <c r="N327" s="5">
        <f t="shared" si="11"/>
        <v>0.84</v>
      </c>
      <c r="O327" s="17" t="s">
        <v>1208</v>
      </c>
    </row>
    <row r="328" spans="1:15" ht="18.75" x14ac:dyDescent="0.3">
      <c r="A328" s="1" t="s">
        <v>995</v>
      </c>
      <c r="B328" s="1" t="s">
        <v>120</v>
      </c>
      <c r="C328" s="1" t="s">
        <v>121</v>
      </c>
      <c r="D328" s="3">
        <v>399</v>
      </c>
      <c r="E328" s="2">
        <v>140</v>
      </c>
      <c r="F328" s="4">
        <v>0.64</v>
      </c>
      <c r="G328">
        <v>4</v>
      </c>
      <c r="H328" s="1" t="s">
        <v>17</v>
      </c>
      <c r="I328" s="1" t="s">
        <v>1168</v>
      </c>
      <c r="J328" s="1" t="s">
        <v>1177</v>
      </c>
      <c r="K328" s="1" t="s">
        <v>88</v>
      </c>
      <c r="L328" s="1" t="s">
        <v>21</v>
      </c>
      <c r="M328" s="2">
        <f t="shared" si="10"/>
        <v>539</v>
      </c>
      <c r="N328" s="5">
        <f t="shared" si="11"/>
        <v>0.84</v>
      </c>
      <c r="O328" s="17" t="s">
        <v>1209</v>
      </c>
    </row>
    <row r="329" spans="1:15" ht="18.75" x14ac:dyDescent="0.3">
      <c r="A329" s="1" t="s">
        <v>996</v>
      </c>
      <c r="B329" s="1" t="s">
        <v>120</v>
      </c>
      <c r="C329" s="1" t="s">
        <v>121</v>
      </c>
      <c r="D329" s="3">
        <v>199</v>
      </c>
      <c r="E329" s="2">
        <v>137</v>
      </c>
      <c r="F329" s="4">
        <v>0.31</v>
      </c>
      <c r="G329">
        <v>4</v>
      </c>
      <c r="H329" s="1" t="s">
        <v>17</v>
      </c>
      <c r="I329" s="1" t="s">
        <v>1168</v>
      </c>
      <c r="J329" s="1" t="s">
        <v>1177</v>
      </c>
      <c r="K329" s="1" t="s">
        <v>258</v>
      </c>
      <c r="L329" s="1" t="s">
        <v>21</v>
      </c>
      <c r="M329" s="2">
        <f t="shared" si="10"/>
        <v>336</v>
      </c>
      <c r="N329" s="5">
        <f t="shared" si="11"/>
        <v>0.84</v>
      </c>
      <c r="O329" s="17" t="s">
        <v>1209</v>
      </c>
    </row>
    <row r="330" spans="1:15" ht="18.75" x14ac:dyDescent="0.3">
      <c r="A330" s="1" t="s">
        <v>997</v>
      </c>
      <c r="B330" s="1" t="s">
        <v>33</v>
      </c>
      <c r="C330" s="1" t="s">
        <v>34</v>
      </c>
      <c r="D330" s="3">
        <v>449</v>
      </c>
      <c r="E330" s="2">
        <v>384</v>
      </c>
      <c r="F330" s="4">
        <v>0.14000000000000001</v>
      </c>
      <c r="G330">
        <v>4.4000000000000004</v>
      </c>
      <c r="H330" s="1" t="s">
        <v>29</v>
      </c>
      <c r="I330" s="1" t="s">
        <v>1167</v>
      </c>
      <c r="J330" s="1" t="s">
        <v>1178</v>
      </c>
      <c r="K330" s="1" t="s">
        <v>41</v>
      </c>
      <c r="L330" s="1" t="s">
        <v>21</v>
      </c>
      <c r="M330" s="2">
        <f t="shared" si="10"/>
        <v>833</v>
      </c>
      <c r="N330" s="5">
        <f t="shared" si="11"/>
        <v>0.84</v>
      </c>
      <c r="O330" s="17" t="s">
        <v>1208</v>
      </c>
    </row>
    <row r="331" spans="1:15" ht="18.75" x14ac:dyDescent="0.3">
      <c r="A331" s="1" t="s">
        <v>998</v>
      </c>
      <c r="B331" s="1" t="s">
        <v>78</v>
      </c>
      <c r="C331" s="1" t="s">
        <v>79</v>
      </c>
      <c r="D331" s="3">
        <v>499</v>
      </c>
      <c r="E331" s="2">
        <v>335</v>
      </c>
      <c r="F331" s="4">
        <v>0.32</v>
      </c>
      <c r="G331">
        <v>4</v>
      </c>
      <c r="H331" s="1" t="s">
        <v>29</v>
      </c>
      <c r="I331" s="1" t="s">
        <v>1169</v>
      </c>
      <c r="J331" s="1" t="s">
        <v>1178</v>
      </c>
      <c r="K331" s="1" t="s">
        <v>41</v>
      </c>
      <c r="L331" s="1" t="s">
        <v>21</v>
      </c>
      <c r="M331" s="2">
        <f t="shared" si="10"/>
        <v>834</v>
      </c>
      <c r="N331" s="5">
        <f t="shared" si="11"/>
        <v>0.84</v>
      </c>
      <c r="O331" s="17" t="s">
        <v>1208</v>
      </c>
    </row>
    <row r="332" spans="1:15" ht="18.75" x14ac:dyDescent="0.3">
      <c r="A332" s="1" t="s">
        <v>999</v>
      </c>
      <c r="B332" s="1" t="s">
        <v>120</v>
      </c>
      <c r="C332" s="1" t="s">
        <v>121</v>
      </c>
      <c r="D332" s="3">
        <v>299</v>
      </c>
      <c r="E332" s="2">
        <v>145</v>
      </c>
      <c r="F332" s="4">
        <v>0.51</v>
      </c>
      <c r="G332">
        <v>4</v>
      </c>
      <c r="H332" s="1" t="s">
        <v>17</v>
      </c>
      <c r="I332" s="1" t="s">
        <v>1168</v>
      </c>
      <c r="J332" s="1" t="s">
        <v>1177</v>
      </c>
      <c r="K332" s="1" t="s">
        <v>88</v>
      </c>
      <c r="L332" s="1" t="s">
        <v>21</v>
      </c>
      <c r="M332" s="2">
        <f t="shared" si="10"/>
        <v>444</v>
      </c>
      <c r="N332" s="5">
        <f t="shared" si="11"/>
        <v>0.84</v>
      </c>
      <c r="O332" s="17" t="s">
        <v>1208</v>
      </c>
    </row>
    <row r="333" spans="1:15" ht="18.75" x14ac:dyDescent="0.3">
      <c r="A333" s="1" t="s">
        <v>1000</v>
      </c>
      <c r="B333" s="1" t="s">
        <v>120</v>
      </c>
      <c r="C333" s="1" t="s">
        <v>121</v>
      </c>
      <c r="D333" s="3">
        <v>299</v>
      </c>
      <c r="E333" s="2">
        <v>145</v>
      </c>
      <c r="F333" s="4">
        <v>0.51</v>
      </c>
      <c r="G333">
        <v>4</v>
      </c>
      <c r="H333" s="1" t="s">
        <v>17</v>
      </c>
      <c r="I333" s="1" t="s">
        <v>1168</v>
      </c>
      <c r="J333" s="1" t="s">
        <v>1177</v>
      </c>
      <c r="K333" s="1" t="s">
        <v>258</v>
      </c>
      <c r="L333" s="1" t="s">
        <v>21</v>
      </c>
      <c r="M333" s="2">
        <f t="shared" si="10"/>
        <v>444</v>
      </c>
      <c r="N333" s="5">
        <f t="shared" si="11"/>
        <v>0.84</v>
      </c>
      <c r="O333" s="17" t="s">
        <v>1209</v>
      </c>
    </row>
    <row r="334" spans="1:15" ht="18.75" x14ac:dyDescent="0.3">
      <c r="A334" s="1" t="s">
        <v>1001</v>
      </c>
      <c r="B334" s="1" t="s">
        <v>78</v>
      </c>
      <c r="C334" s="1" t="s">
        <v>79</v>
      </c>
      <c r="D334" s="3">
        <v>749</v>
      </c>
      <c r="E334" s="2">
        <v>516</v>
      </c>
      <c r="F334" s="4">
        <v>0.31</v>
      </c>
      <c r="G334">
        <v>3.6</v>
      </c>
      <c r="H334" s="1" t="s">
        <v>29</v>
      </c>
      <c r="I334" s="1" t="s">
        <v>1169</v>
      </c>
      <c r="J334" s="1" t="s">
        <v>1178</v>
      </c>
      <c r="K334" s="1" t="s">
        <v>41</v>
      </c>
      <c r="L334" s="1" t="s">
        <v>21</v>
      </c>
      <c r="M334" s="2">
        <f t="shared" si="10"/>
        <v>1265</v>
      </c>
      <c r="N334" s="5">
        <f t="shared" si="11"/>
        <v>0.84</v>
      </c>
      <c r="O334" s="17" t="s">
        <v>1209</v>
      </c>
    </row>
    <row r="335" spans="1:15" ht="18.75" x14ac:dyDescent="0.3">
      <c r="A335" s="1" t="s">
        <v>1002</v>
      </c>
      <c r="B335" s="1" t="s">
        <v>101</v>
      </c>
      <c r="C335" s="1" t="s">
        <v>102</v>
      </c>
      <c r="D335" s="3">
        <v>549</v>
      </c>
      <c r="E335" s="2">
        <v>388</v>
      </c>
      <c r="F335" s="4">
        <v>0.28999999999999998</v>
      </c>
      <c r="G335">
        <v>4.3</v>
      </c>
      <c r="H335" s="1" t="s">
        <v>29</v>
      </c>
      <c r="I335" s="1" t="s">
        <v>1171</v>
      </c>
      <c r="J335" s="1" t="s">
        <v>1178</v>
      </c>
      <c r="K335" s="1" t="s">
        <v>41</v>
      </c>
      <c r="L335" s="1" t="s">
        <v>21</v>
      </c>
      <c r="M335" s="2">
        <f t="shared" si="10"/>
        <v>937</v>
      </c>
      <c r="N335" s="5">
        <f t="shared" si="11"/>
        <v>0.84</v>
      </c>
      <c r="O335" s="17" t="s">
        <v>1209</v>
      </c>
    </row>
    <row r="336" spans="1:15" ht="18.75" x14ac:dyDescent="0.3">
      <c r="A336" s="1" t="s">
        <v>1003</v>
      </c>
      <c r="B336" s="1" t="s">
        <v>120</v>
      </c>
      <c r="C336" s="1" t="s">
        <v>121</v>
      </c>
      <c r="D336" s="3">
        <v>499</v>
      </c>
      <c r="E336" s="2">
        <v>142</v>
      </c>
      <c r="F336" s="4">
        <v>0.71</v>
      </c>
      <c r="G336">
        <v>4</v>
      </c>
      <c r="H336" s="1" t="s">
        <v>17</v>
      </c>
      <c r="I336" s="1" t="s">
        <v>1168</v>
      </c>
      <c r="J336" s="1" t="s">
        <v>1179</v>
      </c>
      <c r="K336" s="1" t="s">
        <v>258</v>
      </c>
      <c r="L336" s="1" t="s">
        <v>21</v>
      </c>
      <c r="M336" s="2">
        <f t="shared" si="10"/>
        <v>641</v>
      </c>
      <c r="N336" s="5">
        <f t="shared" si="11"/>
        <v>0.84</v>
      </c>
      <c r="O336" s="17" t="s">
        <v>1208</v>
      </c>
    </row>
    <row r="337" spans="1:15" ht="18.75" x14ac:dyDescent="0.3">
      <c r="A337" s="1" t="s">
        <v>1004</v>
      </c>
      <c r="B337" s="1" t="s">
        <v>929</v>
      </c>
      <c r="C337" s="1" t="s">
        <v>1005</v>
      </c>
      <c r="D337" s="3">
        <v>499</v>
      </c>
      <c r="E337" s="2">
        <v>182</v>
      </c>
      <c r="F337" s="4">
        <v>0.63</v>
      </c>
      <c r="G337">
        <v>3.4</v>
      </c>
      <c r="H337" s="1" t="s">
        <v>29</v>
      </c>
      <c r="I337" s="1" t="s">
        <v>1173</v>
      </c>
      <c r="J337" s="1" t="s">
        <v>1180</v>
      </c>
      <c r="K337" s="1" t="s">
        <v>55</v>
      </c>
      <c r="L337" s="1" t="s">
        <v>21</v>
      </c>
      <c r="M337" s="2">
        <f t="shared" si="10"/>
        <v>681</v>
      </c>
      <c r="N337" s="5">
        <f t="shared" si="11"/>
        <v>0.84</v>
      </c>
      <c r="O337" s="17" t="s">
        <v>1208</v>
      </c>
    </row>
    <row r="338" spans="1:15" ht="18.75" x14ac:dyDescent="0.3">
      <c r="A338" s="1" t="s">
        <v>1006</v>
      </c>
      <c r="B338" s="1" t="s">
        <v>965</v>
      </c>
      <c r="C338" s="1" t="s">
        <v>966</v>
      </c>
      <c r="D338" s="3">
        <v>199</v>
      </c>
      <c r="E338" s="2">
        <v>145</v>
      </c>
      <c r="F338" s="4">
        <v>0.27</v>
      </c>
      <c r="G338">
        <v>1.1000000000000001</v>
      </c>
      <c r="H338" s="1" t="s">
        <v>29</v>
      </c>
      <c r="I338" s="1" t="s">
        <v>1168</v>
      </c>
      <c r="J338" s="1" t="s">
        <v>1177</v>
      </c>
      <c r="K338" s="1" t="s">
        <v>88</v>
      </c>
      <c r="L338" s="1" t="s">
        <v>21</v>
      </c>
      <c r="M338" s="2">
        <f t="shared" si="10"/>
        <v>344</v>
      </c>
      <c r="N338" s="5">
        <f t="shared" si="11"/>
        <v>0.84</v>
      </c>
      <c r="O338" s="17" t="s">
        <v>1208</v>
      </c>
    </row>
    <row r="339" spans="1:15" ht="18.75" x14ac:dyDescent="0.3">
      <c r="A339" s="1" t="s">
        <v>1008</v>
      </c>
      <c r="B339" s="1" t="s">
        <v>659</v>
      </c>
      <c r="C339" s="1" t="s">
        <v>660</v>
      </c>
      <c r="D339" s="3">
        <v>499</v>
      </c>
      <c r="E339" s="2">
        <v>155</v>
      </c>
      <c r="F339" s="4">
        <v>0.68</v>
      </c>
      <c r="G339">
        <v>4</v>
      </c>
      <c r="H339" s="1" t="s">
        <v>29</v>
      </c>
      <c r="I339" s="1" t="s">
        <v>1175</v>
      </c>
      <c r="J339" s="1" t="s">
        <v>1177</v>
      </c>
      <c r="K339" s="1" t="s">
        <v>55</v>
      </c>
      <c r="L339" s="1" t="s">
        <v>21</v>
      </c>
      <c r="M339" s="2">
        <f t="shared" si="10"/>
        <v>654</v>
      </c>
      <c r="N339" s="5">
        <f t="shared" si="11"/>
        <v>0.84</v>
      </c>
      <c r="O339" s="17" t="s">
        <v>1209</v>
      </c>
    </row>
    <row r="340" spans="1:15" ht="18.75" x14ac:dyDescent="0.3">
      <c r="A340" s="1" t="s">
        <v>1009</v>
      </c>
      <c r="B340" s="1" t="s">
        <v>43</v>
      </c>
      <c r="C340" s="1" t="s">
        <v>44</v>
      </c>
      <c r="D340" s="3">
        <v>449</v>
      </c>
      <c r="E340" s="2">
        <v>349</v>
      </c>
      <c r="F340" s="4">
        <v>0.22</v>
      </c>
      <c r="G340">
        <v>4.3</v>
      </c>
      <c r="H340" s="1" t="s">
        <v>29</v>
      </c>
      <c r="I340" s="1" t="s">
        <v>1167</v>
      </c>
      <c r="J340" s="1" t="s">
        <v>1178</v>
      </c>
      <c r="K340" s="1" t="s">
        <v>41</v>
      </c>
      <c r="L340" s="1" t="s">
        <v>21</v>
      </c>
      <c r="M340" s="2">
        <f t="shared" si="10"/>
        <v>798</v>
      </c>
      <c r="N340" s="5">
        <f t="shared" si="11"/>
        <v>0.84</v>
      </c>
      <c r="O340" s="17" t="s">
        <v>1208</v>
      </c>
    </row>
    <row r="341" spans="1:15" ht="18.75" x14ac:dyDescent="0.3">
      <c r="A341" s="1" t="s">
        <v>1010</v>
      </c>
      <c r="B341" s="1" t="s">
        <v>43</v>
      </c>
      <c r="C341" s="1" t="s">
        <v>44</v>
      </c>
      <c r="D341" s="3">
        <v>449</v>
      </c>
      <c r="E341" s="2">
        <v>349</v>
      </c>
      <c r="F341" s="4">
        <v>0.22</v>
      </c>
      <c r="G341">
        <v>4.3</v>
      </c>
      <c r="H341" s="1" t="s">
        <v>29</v>
      </c>
      <c r="I341" s="1" t="s">
        <v>1167</v>
      </c>
      <c r="J341" s="1" t="s">
        <v>1178</v>
      </c>
      <c r="K341" s="1" t="s">
        <v>41</v>
      </c>
      <c r="L341" s="1" t="s">
        <v>21</v>
      </c>
      <c r="M341" s="2">
        <f t="shared" si="10"/>
        <v>798</v>
      </c>
      <c r="N341" s="5">
        <f t="shared" si="11"/>
        <v>0.84</v>
      </c>
      <c r="O341" s="17" t="s">
        <v>1208</v>
      </c>
    </row>
    <row r="342" spans="1:15" ht="18.75" x14ac:dyDescent="0.3">
      <c r="A342" s="1" t="s">
        <v>1011</v>
      </c>
      <c r="B342" s="1" t="s">
        <v>1012</v>
      </c>
      <c r="C342" s="1" t="s">
        <v>1013</v>
      </c>
      <c r="D342" s="3">
        <v>211</v>
      </c>
      <c r="E342" s="2">
        <v>150</v>
      </c>
      <c r="F342" s="4">
        <v>0.28000000000000003</v>
      </c>
      <c r="G342">
        <v>3.6</v>
      </c>
      <c r="H342" s="1" t="s">
        <v>29</v>
      </c>
      <c r="I342" s="1" t="s">
        <v>1173</v>
      </c>
      <c r="J342" s="1" t="s">
        <v>1180</v>
      </c>
      <c r="K342" s="1" t="s">
        <v>169</v>
      </c>
      <c r="L342" s="1" t="s">
        <v>21</v>
      </c>
      <c r="M342" s="2">
        <f t="shared" si="10"/>
        <v>361</v>
      </c>
      <c r="N342" s="5">
        <f t="shared" si="11"/>
        <v>0.84</v>
      </c>
      <c r="O342" s="17" t="s">
        <v>1208</v>
      </c>
    </row>
    <row r="343" spans="1:15" ht="18.75" x14ac:dyDescent="0.3">
      <c r="A343" s="1" t="s">
        <v>1015</v>
      </c>
      <c r="B343" s="1" t="s">
        <v>120</v>
      </c>
      <c r="C343" s="1" t="s">
        <v>121</v>
      </c>
      <c r="D343" s="3">
        <v>399</v>
      </c>
      <c r="E343" s="2">
        <v>144</v>
      </c>
      <c r="F343" s="4">
        <v>0.63</v>
      </c>
      <c r="G343">
        <v>2.5</v>
      </c>
      <c r="H343" s="1" t="s">
        <v>17</v>
      </c>
      <c r="I343" s="1" t="s">
        <v>1168</v>
      </c>
      <c r="J343" s="1" t="s">
        <v>1177</v>
      </c>
      <c r="K343" s="1" t="s">
        <v>258</v>
      </c>
      <c r="L343" s="1" t="s">
        <v>21</v>
      </c>
      <c r="M343" s="2">
        <f t="shared" si="10"/>
        <v>543</v>
      </c>
      <c r="N343" s="5">
        <f t="shared" si="11"/>
        <v>0.84</v>
      </c>
      <c r="O343" s="17" t="s">
        <v>1209</v>
      </c>
    </row>
    <row r="344" spans="1:15" ht="18.75" x14ac:dyDescent="0.3">
      <c r="A344" s="1" t="s">
        <v>1016</v>
      </c>
      <c r="B344" s="1" t="s">
        <v>78</v>
      </c>
      <c r="C344" s="1" t="s">
        <v>79</v>
      </c>
      <c r="D344" s="3">
        <v>499</v>
      </c>
      <c r="E344" s="2">
        <v>424</v>
      </c>
      <c r="F344" s="4">
        <v>0.15</v>
      </c>
      <c r="G344">
        <v>4.3</v>
      </c>
      <c r="H344" s="1" t="s">
        <v>29</v>
      </c>
      <c r="I344" s="1" t="s">
        <v>1169</v>
      </c>
      <c r="J344" s="1" t="s">
        <v>1178</v>
      </c>
      <c r="K344" s="1" t="s">
        <v>41</v>
      </c>
      <c r="L344" s="1" t="s">
        <v>21</v>
      </c>
      <c r="M344" s="2">
        <f t="shared" si="10"/>
        <v>923</v>
      </c>
      <c r="N344" s="5">
        <f t="shared" si="11"/>
        <v>0.84</v>
      </c>
      <c r="O344" s="17" t="s">
        <v>1208</v>
      </c>
    </row>
    <row r="345" spans="1:15" ht="18.75" x14ac:dyDescent="0.3">
      <c r="A345" s="1" t="s">
        <v>1017</v>
      </c>
      <c r="B345" s="1" t="s">
        <v>33</v>
      </c>
      <c r="C345" s="1" t="s">
        <v>34</v>
      </c>
      <c r="D345" s="3">
        <v>449</v>
      </c>
      <c r="E345" s="2">
        <v>359</v>
      </c>
      <c r="F345" s="4">
        <v>0.2</v>
      </c>
      <c r="G345">
        <v>4.4000000000000004</v>
      </c>
      <c r="H345" s="1" t="s">
        <v>29</v>
      </c>
      <c r="I345" s="1" t="s">
        <v>1167</v>
      </c>
      <c r="J345" s="1" t="s">
        <v>1178</v>
      </c>
      <c r="K345" s="1" t="s">
        <v>41</v>
      </c>
      <c r="L345" s="1" t="s">
        <v>21</v>
      </c>
      <c r="M345" s="2">
        <f t="shared" si="10"/>
        <v>808</v>
      </c>
      <c r="N345" s="5">
        <f t="shared" si="11"/>
        <v>0.84</v>
      </c>
      <c r="O345" s="17" t="s">
        <v>1209</v>
      </c>
    </row>
    <row r="346" spans="1:15" ht="18.75" x14ac:dyDescent="0.3">
      <c r="A346" s="1" t="s">
        <v>1018</v>
      </c>
      <c r="B346" s="1" t="s">
        <v>940</v>
      </c>
      <c r="C346" s="1" t="s">
        <v>941</v>
      </c>
      <c r="D346" s="3">
        <v>299</v>
      </c>
      <c r="E346" s="2">
        <v>144</v>
      </c>
      <c r="F346" s="4">
        <v>0.51</v>
      </c>
      <c r="G346">
        <v>2.4</v>
      </c>
      <c r="H346" s="1" t="s">
        <v>17</v>
      </c>
      <c r="I346" s="1" t="s">
        <v>1173</v>
      </c>
      <c r="J346" s="1" t="s">
        <v>1177</v>
      </c>
      <c r="K346" s="1" t="s">
        <v>258</v>
      </c>
      <c r="L346" s="1" t="s">
        <v>21</v>
      </c>
      <c r="M346" s="2">
        <f t="shared" si="10"/>
        <v>443</v>
      </c>
      <c r="N346" s="5">
        <f t="shared" si="11"/>
        <v>0.84</v>
      </c>
      <c r="O346" s="17" t="s">
        <v>1209</v>
      </c>
    </row>
    <row r="347" spans="1:15" ht="18.75" x14ac:dyDescent="0.3">
      <c r="A347" s="1" t="s">
        <v>1019</v>
      </c>
      <c r="B347" s="1" t="s">
        <v>120</v>
      </c>
      <c r="C347" s="1" t="s">
        <v>121</v>
      </c>
      <c r="D347" s="3">
        <v>399</v>
      </c>
      <c r="E347" s="2">
        <v>137</v>
      </c>
      <c r="F347" s="4">
        <v>0.65</v>
      </c>
      <c r="G347">
        <v>3.5</v>
      </c>
      <c r="H347" s="1" t="s">
        <v>17</v>
      </c>
      <c r="I347" s="1" t="s">
        <v>1168</v>
      </c>
      <c r="J347" s="1" t="s">
        <v>1177</v>
      </c>
      <c r="K347" s="1" t="s">
        <v>258</v>
      </c>
      <c r="L347" s="1" t="s">
        <v>21</v>
      </c>
      <c r="M347" s="2">
        <f t="shared" si="10"/>
        <v>536</v>
      </c>
      <c r="N347" s="5">
        <f t="shared" si="11"/>
        <v>0.84</v>
      </c>
      <c r="O347" s="17" t="s">
        <v>1209</v>
      </c>
    </row>
    <row r="348" spans="1:15" ht="18.75" x14ac:dyDescent="0.3">
      <c r="A348" s="1" t="s">
        <v>1020</v>
      </c>
      <c r="B348" s="1" t="s">
        <v>1021</v>
      </c>
      <c r="C348" s="1" t="s">
        <v>1022</v>
      </c>
      <c r="D348" s="3">
        <v>599</v>
      </c>
      <c r="E348" s="2">
        <v>250</v>
      </c>
      <c r="F348" s="4">
        <v>0.57999999999999996</v>
      </c>
      <c r="G348">
        <v>3.6</v>
      </c>
      <c r="H348" s="1" t="s">
        <v>29</v>
      </c>
      <c r="I348" s="1" t="s">
        <v>1172</v>
      </c>
      <c r="J348" s="1" t="s">
        <v>1178</v>
      </c>
      <c r="K348" s="1" t="s">
        <v>1023</v>
      </c>
      <c r="L348" s="1" t="s">
        <v>21</v>
      </c>
      <c r="M348" s="2">
        <f t="shared" si="10"/>
        <v>849</v>
      </c>
      <c r="N348" s="5">
        <f t="shared" si="11"/>
        <v>0.84</v>
      </c>
      <c r="O348" s="17" t="s">
        <v>1208</v>
      </c>
    </row>
    <row r="349" spans="1:15" ht="18.75" x14ac:dyDescent="0.3">
      <c r="A349" s="1" t="s">
        <v>1024</v>
      </c>
      <c r="B349" s="1" t="s">
        <v>1025</v>
      </c>
      <c r="C349" s="1" t="s">
        <v>1026</v>
      </c>
      <c r="D349" s="3">
        <v>499</v>
      </c>
      <c r="E349" s="2">
        <v>145</v>
      </c>
      <c r="F349" s="4">
        <v>0.7</v>
      </c>
      <c r="G349">
        <v>4</v>
      </c>
      <c r="H349" s="1" t="s">
        <v>17</v>
      </c>
      <c r="I349" s="1" t="s">
        <v>1175</v>
      </c>
      <c r="J349" s="1" t="s">
        <v>1180</v>
      </c>
      <c r="K349" s="1" t="s">
        <v>55</v>
      </c>
      <c r="L349" s="1" t="s">
        <v>21</v>
      </c>
      <c r="M349" s="2">
        <f t="shared" si="10"/>
        <v>644</v>
      </c>
      <c r="N349" s="5">
        <f t="shared" si="11"/>
        <v>0.84</v>
      </c>
      <c r="O349" s="17" t="s">
        <v>1208</v>
      </c>
    </row>
    <row r="350" spans="1:15" ht="18.75" x14ac:dyDescent="0.3">
      <c r="A350" s="1" t="s">
        <v>1027</v>
      </c>
      <c r="B350" s="1" t="s">
        <v>78</v>
      </c>
      <c r="C350" s="1" t="s">
        <v>79</v>
      </c>
      <c r="D350" s="3">
        <v>449</v>
      </c>
      <c r="E350" s="2">
        <v>335</v>
      </c>
      <c r="F350" s="4">
        <v>0.25</v>
      </c>
      <c r="G350">
        <v>4</v>
      </c>
      <c r="H350" s="1" t="s">
        <v>29</v>
      </c>
      <c r="I350" s="1" t="s">
        <v>1169</v>
      </c>
      <c r="J350" s="1" t="s">
        <v>1178</v>
      </c>
      <c r="K350" s="1" t="s">
        <v>41</v>
      </c>
      <c r="L350" s="1" t="s">
        <v>21</v>
      </c>
      <c r="M350" s="2">
        <f t="shared" si="10"/>
        <v>784</v>
      </c>
      <c r="N350" s="5">
        <f t="shared" si="11"/>
        <v>0.84</v>
      </c>
      <c r="O350" s="17" t="s">
        <v>1209</v>
      </c>
    </row>
    <row r="351" spans="1:15" ht="18.75" x14ac:dyDescent="0.3">
      <c r="A351" s="1" t="s">
        <v>1028</v>
      </c>
      <c r="B351" s="1" t="s">
        <v>78</v>
      </c>
      <c r="C351" s="1" t="s">
        <v>79</v>
      </c>
      <c r="D351" s="3">
        <v>499</v>
      </c>
      <c r="E351" s="2">
        <v>426</v>
      </c>
      <c r="F351" s="4">
        <v>0.14000000000000001</v>
      </c>
      <c r="G351">
        <v>4.2</v>
      </c>
      <c r="H351" s="1" t="s">
        <v>29</v>
      </c>
      <c r="I351" s="1" t="s">
        <v>1169</v>
      </c>
      <c r="J351" s="1" t="s">
        <v>1178</v>
      </c>
      <c r="K351" s="1" t="s">
        <v>41</v>
      </c>
      <c r="L351" s="1" t="s">
        <v>21</v>
      </c>
      <c r="M351" s="2">
        <f t="shared" si="10"/>
        <v>925</v>
      </c>
      <c r="N351" s="5">
        <f t="shared" si="11"/>
        <v>0.84</v>
      </c>
      <c r="O351" s="17" t="s">
        <v>1209</v>
      </c>
    </row>
    <row r="352" spans="1:15" ht="18.75" x14ac:dyDescent="0.3">
      <c r="A352" s="1" t="s">
        <v>1029</v>
      </c>
      <c r="B352" s="1" t="s">
        <v>1030</v>
      </c>
      <c r="C352" s="1" t="s">
        <v>1031</v>
      </c>
      <c r="D352" s="3">
        <v>399</v>
      </c>
      <c r="E352" s="2">
        <v>160</v>
      </c>
      <c r="F352" s="4">
        <v>0.59</v>
      </c>
      <c r="G352">
        <v>4</v>
      </c>
      <c r="H352" s="1" t="s">
        <v>17</v>
      </c>
      <c r="I352" s="1" t="s">
        <v>1173</v>
      </c>
      <c r="J352" s="1" t="s">
        <v>1177</v>
      </c>
      <c r="K352" s="1" t="s">
        <v>55</v>
      </c>
      <c r="L352" s="1" t="s">
        <v>21</v>
      </c>
      <c r="M352" s="2">
        <f t="shared" si="10"/>
        <v>559</v>
      </c>
      <c r="N352" s="5">
        <f t="shared" si="11"/>
        <v>0.84</v>
      </c>
      <c r="O352" s="17" t="s">
        <v>1209</v>
      </c>
    </row>
    <row r="353" spans="1:15" ht="18.75" x14ac:dyDescent="0.3">
      <c r="A353" s="1" t="s">
        <v>1032</v>
      </c>
      <c r="B353" s="1" t="s">
        <v>1033</v>
      </c>
      <c r="C353" s="1" t="s">
        <v>1034</v>
      </c>
      <c r="D353" s="3">
        <v>499</v>
      </c>
      <c r="E353" s="2">
        <v>169</v>
      </c>
      <c r="F353" s="4">
        <v>0.66</v>
      </c>
      <c r="G353">
        <v>4</v>
      </c>
      <c r="H353" s="1" t="s">
        <v>17</v>
      </c>
      <c r="I353" s="1" t="s">
        <v>1170</v>
      </c>
      <c r="J353" s="1" t="s">
        <v>1178</v>
      </c>
      <c r="K353" s="1" t="s">
        <v>55</v>
      </c>
      <c r="L353" s="1" t="s">
        <v>21</v>
      </c>
      <c r="M353" s="2">
        <f t="shared" si="10"/>
        <v>668</v>
      </c>
      <c r="N353" s="5">
        <f t="shared" si="11"/>
        <v>0.84</v>
      </c>
      <c r="O353" s="17" t="s">
        <v>1208</v>
      </c>
    </row>
    <row r="354" spans="1:15" ht="18.75" x14ac:dyDescent="0.3">
      <c r="A354" s="1" t="s">
        <v>1035</v>
      </c>
      <c r="B354" s="1" t="s">
        <v>78</v>
      </c>
      <c r="C354" s="1" t="s">
        <v>79</v>
      </c>
      <c r="D354" s="3">
        <v>499</v>
      </c>
      <c r="E354" s="2">
        <v>335</v>
      </c>
      <c r="F354" s="4">
        <v>0.32</v>
      </c>
      <c r="G354">
        <v>4</v>
      </c>
      <c r="H354" s="1" t="s">
        <v>29</v>
      </c>
      <c r="I354" s="1" t="s">
        <v>1169</v>
      </c>
      <c r="J354" s="1" t="s">
        <v>1178</v>
      </c>
      <c r="K354" s="1" t="s">
        <v>41</v>
      </c>
      <c r="L354" s="1" t="s">
        <v>21</v>
      </c>
      <c r="M354" s="2">
        <f t="shared" si="10"/>
        <v>834</v>
      </c>
      <c r="N354" s="5">
        <f t="shared" si="11"/>
        <v>0.84</v>
      </c>
      <c r="O354" s="17" t="s">
        <v>1208</v>
      </c>
    </row>
    <row r="355" spans="1:15" ht="18.75" x14ac:dyDescent="0.3">
      <c r="A355" s="1" t="s">
        <v>1036</v>
      </c>
      <c r="B355" s="1" t="s">
        <v>33</v>
      </c>
      <c r="C355" s="1" t="s">
        <v>34</v>
      </c>
      <c r="D355" s="3">
        <v>445</v>
      </c>
      <c r="E355" s="2">
        <v>335</v>
      </c>
      <c r="F355" s="4">
        <v>0.24</v>
      </c>
      <c r="G355">
        <v>4.4000000000000004</v>
      </c>
      <c r="H355" s="1" t="s">
        <v>29</v>
      </c>
      <c r="I355" s="1" t="s">
        <v>1167</v>
      </c>
      <c r="J355" s="1" t="s">
        <v>1178</v>
      </c>
      <c r="K355" s="1" t="s">
        <v>41</v>
      </c>
      <c r="L355" s="1" t="s">
        <v>21</v>
      </c>
      <c r="M355" s="2">
        <f t="shared" si="10"/>
        <v>780</v>
      </c>
      <c r="N355" s="5">
        <f t="shared" si="11"/>
        <v>0.84</v>
      </c>
      <c r="O355" s="17" t="s">
        <v>1209</v>
      </c>
    </row>
    <row r="356" spans="1:15" ht="18.75" x14ac:dyDescent="0.3">
      <c r="A356" s="1" t="s">
        <v>1037</v>
      </c>
      <c r="B356" s="1" t="s">
        <v>1038</v>
      </c>
      <c r="C356" s="1" t="s">
        <v>1039</v>
      </c>
      <c r="D356" s="3">
        <v>699</v>
      </c>
      <c r="E356" s="2">
        <v>297</v>
      </c>
      <c r="F356" s="4">
        <v>0.56999999999999995</v>
      </c>
      <c r="G356">
        <v>4.2</v>
      </c>
      <c r="H356" s="1" t="s">
        <v>29</v>
      </c>
      <c r="I356" s="1" t="s">
        <v>1172</v>
      </c>
      <c r="J356" s="1" t="s">
        <v>1178</v>
      </c>
      <c r="K356" s="1" t="s">
        <v>1041</v>
      </c>
      <c r="L356" s="1" t="s">
        <v>21</v>
      </c>
      <c r="M356" s="2">
        <f t="shared" si="10"/>
        <v>996</v>
      </c>
      <c r="N356" s="5">
        <f t="shared" si="11"/>
        <v>0.84</v>
      </c>
      <c r="O356" s="17" t="s">
        <v>1208</v>
      </c>
    </row>
    <row r="357" spans="1:15" ht="18.75" x14ac:dyDescent="0.3">
      <c r="A357" s="1" t="s">
        <v>1042</v>
      </c>
      <c r="B357" s="1" t="s">
        <v>1043</v>
      </c>
      <c r="C357" s="1" t="s">
        <v>1044</v>
      </c>
      <c r="D357" s="3">
        <v>299</v>
      </c>
      <c r="E357" s="2">
        <v>145</v>
      </c>
      <c r="F357" s="4">
        <v>0.51</v>
      </c>
      <c r="G357">
        <v>1.8</v>
      </c>
      <c r="H357" s="1" t="s">
        <v>29</v>
      </c>
      <c r="I357" s="1" t="s">
        <v>1166</v>
      </c>
      <c r="J357" s="1" t="s">
        <v>1179</v>
      </c>
      <c r="K357" s="1" t="s">
        <v>55</v>
      </c>
      <c r="L357" s="1" t="s">
        <v>21</v>
      </c>
      <c r="M357" s="2">
        <f t="shared" si="10"/>
        <v>444</v>
      </c>
      <c r="N357" s="5">
        <f t="shared" si="11"/>
        <v>0.84</v>
      </c>
      <c r="O357" s="17" t="s">
        <v>1209</v>
      </c>
    </row>
    <row r="358" spans="1:15" ht="18.75" x14ac:dyDescent="0.3">
      <c r="A358" s="1" t="s">
        <v>1045</v>
      </c>
      <c r="B358" s="1" t="s">
        <v>1046</v>
      </c>
      <c r="C358" s="1" t="s">
        <v>1047</v>
      </c>
      <c r="D358" s="3">
        <v>499</v>
      </c>
      <c r="E358" s="2">
        <v>198</v>
      </c>
      <c r="F358" s="4">
        <v>0.6</v>
      </c>
      <c r="G358">
        <v>4</v>
      </c>
      <c r="H358" s="1" t="s">
        <v>17</v>
      </c>
      <c r="I358" s="1" t="s">
        <v>1175</v>
      </c>
      <c r="J358" s="1" t="s">
        <v>1180</v>
      </c>
      <c r="K358" s="1" t="s">
        <v>1048</v>
      </c>
      <c r="L358" s="1" t="s">
        <v>21</v>
      </c>
      <c r="M358" s="2">
        <f t="shared" si="10"/>
        <v>697</v>
      </c>
      <c r="N358" s="5">
        <f t="shared" si="11"/>
        <v>0.84</v>
      </c>
      <c r="O358" s="17" t="s">
        <v>1208</v>
      </c>
    </row>
    <row r="359" spans="1:15" ht="18.75" x14ac:dyDescent="0.3">
      <c r="A359" s="1" t="s">
        <v>1049</v>
      </c>
      <c r="B359" s="1" t="s">
        <v>271</v>
      </c>
      <c r="C359" s="1" t="s">
        <v>272</v>
      </c>
      <c r="D359" s="3">
        <v>299</v>
      </c>
      <c r="E359" s="2">
        <v>145</v>
      </c>
      <c r="F359" s="4">
        <v>0.51</v>
      </c>
      <c r="G359">
        <v>1.7</v>
      </c>
      <c r="H359" s="1" t="s">
        <v>29</v>
      </c>
      <c r="I359" s="1" t="s">
        <v>1166</v>
      </c>
      <c r="J359" s="1" t="s">
        <v>1179</v>
      </c>
      <c r="K359" s="1" t="s">
        <v>55</v>
      </c>
      <c r="L359" s="1" t="s">
        <v>21</v>
      </c>
      <c r="M359" s="2">
        <f t="shared" si="10"/>
        <v>444</v>
      </c>
      <c r="N359" s="5">
        <f t="shared" si="11"/>
        <v>0.84</v>
      </c>
      <c r="O359" s="17" t="s">
        <v>1209</v>
      </c>
    </row>
    <row r="360" spans="1:15" ht="18.75" x14ac:dyDescent="0.3">
      <c r="A360" s="1" t="s">
        <v>1050</v>
      </c>
      <c r="B360" s="1" t="s">
        <v>78</v>
      </c>
      <c r="C360" s="1" t="s">
        <v>79</v>
      </c>
      <c r="D360" s="3">
        <v>495</v>
      </c>
      <c r="E360" s="2">
        <v>331</v>
      </c>
      <c r="F360" s="4">
        <v>0.33</v>
      </c>
      <c r="G360">
        <v>4.0999999999999996</v>
      </c>
      <c r="H360" s="1" t="s">
        <v>29</v>
      </c>
      <c r="I360" s="1" t="s">
        <v>1169</v>
      </c>
      <c r="J360" s="1" t="s">
        <v>1178</v>
      </c>
      <c r="K360" s="1" t="s">
        <v>41</v>
      </c>
      <c r="L360" s="1" t="s">
        <v>21</v>
      </c>
      <c r="M360" s="2">
        <f t="shared" si="10"/>
        <v>826</v>
      </c>
      <c r="N360" s="5">
        <f t="shared" si="11"/>
        <v>0.84</v>
      </c>
      <c r="O360" s="17" t="s">
        <v>1208</v>
      </c>
    </row>
    <row r="361" spans="1:15" ht="18.75" x14ac:dyDescent="0.3">
      <c r="A361" s="1" t="s">
        <v>1051</v>
      </c>
      <c r="B361" s="1" t="s">
        <v>78</v>
      </c>
      <c r="C361" s="1" t="s">
        <v>214</v>
      </c>
      <c r="D361" s="3">
        <v>349</v>
      </c>
      <c r="E361" s="2">
        <v>325</v>
      </c>
      <c r="F361" s="4">
        <v>0.06</v>
      </c>
      <c r="G361">
        <v>4</v>
      </c>
      <c r="H361" s="1" t="s">
        <v>29</v>
      </c>
      <c r="I361" s="1" t="s">
        <v>1169</v>
      </c>
      <c r="J361" s="1" t="s">
        <v>1178</v>
      </c>
      <c r="K361" s="1" t="s">
        <v>41</v>
      </c>
      <c r="L361" s="1" t="s">
        <v>21</v>
      </c>
      <c r="M361" s="2">
        <f t="shared" si="10"/>
        <v>674</v>
      </c>
      <c r="N361" s="5">
        <f t="shared" si="11"/>
        <v>0.84</v>
      </c>
      <c r="O361" s="17" t="s">
        <v>1208</v>
      </c>
    </row>
    <row r="362" spans="1:15" ht="18.75" x14ac:dyDescent="0.3">
      <c r="A362" s="1" t="s">
        <v>1052</v>
      </c>
      <c r="B362" s="1" t="s">
        <v>120</v>
      </c>
      <c r="C362" s="1" t="s">
        <v>121</v>
      </c>
      <c r="D362" s="3">
        <v>299</v>
      </c>
      <c r="E362" s="2">
        <v>145</v>
      </c>
      <c r="F362" s="4">
        <v>0.51</v>
      </c>
      <c r="G362">
        <v>3.5</v>
      </c>
      <c r="H362" s="1" t="s">
        <v>17</v>
      </c>
      <c r="I362" s="1" t="s">
        <v>1168</v>
      </c>
      <c r="J362" s="1" t="s">
        <v>1177</v>
      </c>
      <c r="K362" s="1" t="s">
        <v>258</v>
      </c>
      <c r="L362" s="1" t="s">
        <v>21</v>
      </c>
      <c r="M362" s="2">
        <f t="shared" si="10"/>
        <v>444</v>
      </c>
      <c r="N362" s="5">
        <f t="shared" si="11"/>
        <v>0.84</v>
      </c>
      <c r="O362" s="17" t="s">
        <v>1209</v>
      </c>
    </row>
    <row r="363" spans="1:15" ht="18.75" x14ac:dyDescent="0.3">
      <c r="A363" s="1" t="s">
        <v>1053</v>
      </c>
      <c r="B363" s="1" t="s">
        <v>745</v>
      </c>
      <c r="C363" s="1" t="s">
        <v>746</v>
      </c>
      <c r="D363" s="3">
        <v>399</v>
      </c>
      <c r="E363" s="2">
        <v>140</v>
      </c>
      <c r="F363" s="4">
        <v>0.64</v>
      </c>
      <c r="G363">
        <v>3.6</v>
      </c>
      <c r="H363" s="1" t="s">
        <v>29</v>
      </c>
      <c r="I363" s="1" t="s">
        <v>1173</v>
      </c>
      <c r="J363" s="1" t="s">
        <v>1180</v>
      </c>
      <c r="K363" s="1" t="s">
        <v>20</v>
      </c>
      <c r="L363" s="1" t="s">
        <v>21</v>
      </c>
      <c r="M363" s="2">
        <f t="shared" si="10"/>
        <v>539</v>
      </c>
      <c r="N363" s="5">
        <f t="shared" si="11"/>
        <v>0.84</v>
      </c>
      <c r="O363" s="17" t="s">
        <v>1209</v>
      </c>
    </row>
    <row r="364" spans="1:15" ht="18.75" x14ac:dyDescent="0.3">
      <c r="A364" s="1" t="s">
        <v>1054</v>
      </c>
      <c r="B364" s="1" t="s">
        <v>43</v>
      </c>
      <c r="C364" s="1" t="s">
        <v>44</v>
      </c>
      <c r="D364" s="3">
        <v>449</v>
      </c>
      <c r="E364" s="2">
        <v>349</v>
      </c>
      <c r="F364" s="4">
        <v>0.22</v>
      </c>
      <c r="G364">
        <v>4.3</v>
      </c>
      <c r="H364" s="1" t="s">
        <v>29</v>
      </c>
      <c r="I364" s="1" t="s">
        <v>1167</v>
      </c>
      <c r="J364" s="1" t="s">
        <v>1178</v>
      </c>
      <c r="K364" s="1" t="s">
        <v>41</v>
      </c>
      <c r="L364" s="1" t="s">
        <v>21</v>
      </c>
      <c r="M364" s="2">
        <f t="shared" si="10"/>
        <v>798</v>
      </c>
      <c r="N364" s="5">
        <f t="shared" si="11"/>
        <v>0.84</v>
      </c>
      <c r="O364" s="17" t="s">
        <v>1208</v>
      </c>
    </row>
    <row r="365" spans="1:15" ht="18.75" x14ac:dyDescent="0.3">
      <c r="A365" s="1" t="s">
        <v>1055</v>
      </c>
      <c r="B365" s="1" t="s">
        <v>33</v>
      </c>
      <c r="C365" s="1" t="s">
        <v>34</v>
      </c>
      <c r="D365" s="3">
        <v>449</v>
      </c>
      <c r="E365" s="2">
        <v>384</v>
      </c>
      <c r="F365" s="4">
        <v>0.14000000000000001</v>
      </c>
      <c r="G365">
        <v>4.4000000000000004</v>
      </c>
      <c r="H365" s="1" t="s">
        <v>29</v>
      </c>
      <c r="I365" s="1" t="s">
        <v>1167</v>
      </c>
      <c r="J365" s="1" t="s">
        <v>1178</v>
      </c>
      <c r="K365" s="1" t="s">
        <v>41</v>
      </c>
      <c r="L365" s="1" t="s">
        <v>21</v>
      </c>
      <c r="M365" s="2">
        <f t="shared" si="10"/>
        <v>833</v>
      </c>
      <c r="N365" s="5">
        <f t="shared" si="11"/>
        <v>0.84</v>
      </c>
      <c r="O365" s="17" t="s">
        <v>1208</v>
      </c>
    </row>
    <row r="366" spans="1:15" ht="18.75" x14ac:dyDescent="0.3">
      <c r="A366" s="1" t="s">
        <v>1056</v>
      </c>
      <c r="B366" s="1" t="s">
        <v>929</v>
      </c>
      <c r="C366" s="1" t="s">
        <v>930</v>
      </c>
      <c r="D366" s="3">
        <v>299</v>
      </c>
      <c r="E366" s="2">
        <v>145</v>
      </c>
      <c r="F366" s="4">
        <v>0.51</v>
      </c>
      <c r="G366">
        <v>3.1</v>
      </c>
      <c r="H366" s="1" t="s">
        <v>17</v>
      </c>
      <c r="I366" s="1" t="s">
        <v>1173</v>
      </c>
      <c r="J366" s="1" t="s">
        <v>1177</v>
      </c>
      <c r="K366" s="1" t="s">
        <v>55</v>
      </c>
      <c r="L366" s="1" t="s">
        <v>21</v>
      </c>
      <c r="M366" s="2">
        <f t="shared" si="10"/>
        <v>444</v>
      </c>
      <c r="N366" s="5">
        <f t="shared" si="11"/>
        <v>0.84</v>
      </c>
      <c r="O366" s="17" t="s">
        <v>1209</v>
      </c>
    </row>
    <row r="367" spans="1:15" ht="18.75" x14ac:dyDescent="0.3">
      <c r="A367" s="1" t="s">
        <v>1057</v>
      </c>
      <c r="B367" s="1" t="s">
        <v>781</v>
      </c>
      <c r="C367" s="1" t="s">
        <v>782</v>
      </c>
      <c r="D367" s="3">
        <v>699</v>
      </c>
      <c r="E367" s="2">
        <v>212</v>
      </c>
      <c r="F367" s="4">
        <v>0.69</v>
      </c>
      <c r="G367">
        <v>4</v>
      </c>
      <c r="H367" s="1" t="s">
        <v>17</v>
      </c>
      <c r="I367" s="1" t="s">
        <v>1170</v>
      </c>
      <c r="J367" s="1" t="s">
        <v>1179</v>
      </c>
      <c r="K367" s="1" t="s">
        <v>784</v>
      </c>
      <c r="L367" s="1" t="s">
        <v>21</v>
      </c>
      <c r="M367" s="2">
        <f t="shared" si="10"/>
        <v>911</v>
      </c>
      <c r="N367" s="5">
        <f t="shared" si="11"/>
        <v>0.84</v>
      </c>
      <c r="O367" s="17" t="s">
        <v>1208</v>
      </c>
    </row>
    <row r="368" spans="1:15" ht="18.75" x14ac:dyDescent="0.3">
      <c r="A368" s="1" t="s">
        <v>1058</v>
      </c>
      <c r="B368" s="1" t="s">
        <v>1030</v>
      </c>
      <c r="C368" s="1" t="s">
        <v>1059</v>
      </c>
      <c r="D368" s="3">
        <v>399</v>
      </c>
      <c r="E368" s="2">
        <v>160</v>
      </c>
      <c r="F368" s="4">
        <v>0.59</v>
      </c>
      <c r="G368">
        <v>3.1</v>
      </c>
      <c r="H368" s="1" t="s">
        <v>17</v>
      </c>
      <c r="I368" s="1" t="s">
        <v>1173</v>
      </c>
      <c r="J368" s="1" t="s">
        <v>1177</v>
      </c>
      <c r="K368" s="1" t="s">
        <v>55</v>
      </c>
      <c r="L368" s="1" t="s">
        <v>21</v>
      </c>
      <c r="M368" s="2">
        <f t="shared" si="10"/>
        <v>559</v>
      </c>
      <c r="N368" s="5">
        <f t="shared" si="11"/>
        <v>0.84</v>
      </c>
      <c r="O368" s="17" t="s">
        <v>1208</v>
      </c>
    </row>
    <row r="369" spans="1:15" ht="18.75" x14ac:dyDescent="0.3">
      <c r="A369" s="1" t="s">
        <v>1060</v>
      </c>
      <c r="B369" s="1" t="s">
        <v>539</v>
      </c>
      <c r="C369" s="1" t="s">
        <v>540</v>
      </c>
      <c r="D369" s="3">
        <v>399</v>
      </c>
      <c r="E369" s="2">
        <v>145</v>
      </c>
      <c r="F369" s="4">
        <v>0.63</v>
      </c>
      <c r="G369">
        <v>3.7</v>
      </c>
      <c r="H369" s="1" t="s">
        <v>17</v>
      </c>
      <c r="I369" s="1" t="s">
        <v>1173</v>
      </c>
      <c r="J369" s="1" t="s">
        <v>1177</v>
      </c>
      <c r="K369" s="1" t="s">
        <v>55</v>
      </c>
      <c r="L369" s="1" t="s">
        <v>21</v>
      </c>
      <c r="M369" s="2">
        <f t="shared" si="10"/>
        <v>544</v>
      </c>
      <c r="N369" s="5">
        <f t="shared" si="11"/>
        <v>0.84</v>
      </c>
      <c r="O369" s="17" t="s">
        <v>1209</v>
      </c>
    </row>
    <row r="370" spans="1:15" ht="18.75" x14ac:dyDescent="0.3">
      <c r="A370" s="1" t="s">
        <v>1061</v>
      </c>
      <c r="B370" s="1" t="s">
        <v>78</v>
      </c>
      <c r="C370" s="1" t="s">
        <v>79</v>
      </c>
      <c r="D370" s="3">
        <v>499</v>
      </c>
      <c r="E370" s="2">
        <v>335</v>
      </c>
      <c r="F370" s="4">
        <v>0.32</v>
      </c>
      <c r="G370">
        <v>4</v>
      </c>
      <c r="H370" s="1" t="s">
        <v>29</v>
      </c>
      <c r="I370" s="1" t="s">
        <v>1169</v>
      </c>
      <c r="J370" s="1" t="s">
        <v>1178</v>
      </c>
      <c r="K370" s="1" t="s">
        <v>41</v>
      </c>
      <c r="L370" s="1" t="s">
        <v>21</v>
      </c>
      <c r="M370" s="2">
        <f t="shared" si="10"/>
        <v>834</v>
      </c>
      <c r="N370" s="5">
        <f t="shared" si="11"/>
        <v>0.84</v>
      </c>
      <c r="O370" s="17" t="s">
        <v>1208</v>
      </c>
    </row>
    <row r="371" spans="1:15" ht="18.75" x14ac:dyDescent="0.3">
      <c r="A371" s="1" t="s">
        <v>1062</v>
      </c>
      <c r="B371" s="1" t="s">
        <v>78</v>
      </c>
      <c r="C371" s="1" t="s">
        <v>79</v>
      </c>
      <c r="D371" s="3">
        <v>749</v>
      </c>
      <c r="E371" s="2">
        <v>516</v>
      </c>
      <c r="F371" s="4">
        <v>0.31</v>
      </c>
      <c r="G371">
        <v>3.6</v>
      </c>
      <c r="H371" s="1" t="s">
        <v>29</v>
      </c>
      <c r="I371" s="1" t="s">
        <v>1169</v>
      </c>
      <c r="J371" s="1" t="s">
        <v>1178</v>
      </c>
      <c r="K371" s="1" t="s">
        <v>41</v>
      </c>
      <c r="L371" s="1" t="s">
        <v>21</v>
      </c>
      <c r="M371" s="2">
        <f t="shared" si="10"/>
        <v>1265</v>
      </c>
      <c r="N371" s="5">
        <f t="shared" si="11"/>
        <v>0.84</v>
      </c>
      <c r="O371" s="17" t="s">
        <v>1208</v>
      </c>
    </row>
    <row r="372" spans="1:15" ht="18.75" x14ac:dyDescent="0.3">
      <c r="A372" s="1" t="s">
        <v>1063</v>
      </c>
      <c r="B372" s="1" t="s">
        <v>1064</v>
      </c>
      <c r="C372" s="1" t="s">
        <v>1065</v>
      </c>
      <c r="D372" s="3">
        <v>299</v>
      </c>
      <c r="E372" s="2">
        <v>145</v>
      </c>
      <c r="F372" s="4">
        <v>0.51</v>
      </c>
      <c r="G372">
        <v>3.3</v>
      </c>
      <c r="H372" s="1" t="s">
        <v>17</v>
      </c>
      <c r="I372" s="1" t="s">
        <v>1173</v>
      </c>
      <c r="J372" s="1" t="s">
        <v>1177</v>
      </c>
      <c r="K372" s="1" t="s">
        <v>55</v>
      </c>
      <c r="L372" s="1" t="s">
        <v>21</v>
      </c>
      <c r="M372" s="2">
        <f t="shared" si="10"/>
        <v>444</v>
      </c>
      <c r="N372" s="5">
        <f t="shared" si="11"/>
        <v>0.84</v>
      </c>
      <c r="O372" s="17" t="s">
        <v>1208</v>
      </c>
    </row>
    <row r="373" spans="1:15" ht="18.75" x14ac:dyDescent="0.3">
      <c r="A373" s="1" t="s">
        <v>1066</v>
      </c>
      <c r="B373" s="1" t="s">
        <v>947</v>
      </c>
      <c r="C373" s="1" t="s">
        <v>1067</v>
      </c>
      <c r="D373" s="3">
        <v>499</v>
      </c>
      <c r="E373" s="2">
        <v>177</v>
      </c>
      <c r="F373" s="4">
        <v>0.64</v>
      </c>
      <c r="G373">
        <v>4</v>
      </c>
      <c r="H373" s="1" t="s">
        <v>17</v>
      </c>
      <c r="I373" s="1" t="s">
        <v>1174</v>
      </c>
      <c r="J373" s="1" t="s">
        <v>1177</v>
      </c>
      <c r="K373" s="1" t="s">
        <v>55</v>
      </c>
      <c r="L373" s="1" t="s">
        <v>21</v>
      </c>
      <c r="M373" s="2">
        <f t="shared" si="10"/>
        <v>676</v>
      </c>
      <c r="N373" s="5">
        <f t="shared" si="11"/>
        <v>0.84</v>
      </c>
      <c r="O373" s="17" t="s">
        <v>1208</v>
      </c>
    </row>
    <row r="374" spans="1:15" ht="18.75" x14ac:dyDescent="0.3">
      <c r="A374" s="1" t="s">
        <v>1068</v>
      </c>
      <c r="B374" s="1" t="s">
        <v>101</v>
      </c>
      <c r="C374" s="1" t="s">
        <v>102</v>
      </c>
      <c r="D374" s="3">
        <v>549</v>
      </c>
      <c r="E374" s="2">
        <v>388</v>
      </c>
      <c r="F374" s="4">
        <v>0.28999999999999998</v>
      </c>
      <c r="G374">
        <v>4.3</v>
      </c>
      <c r="H374" s="1" t="s">
        <v>29</v>
      </c>
      <c r="I374" s="1" t="s">
        <v>1171</v>
      </c>
      <c r="J374" s="1" t="s">
        <v>1178</v>
      </c>
      <c r="K374" s="1" t="s">
        <v>41</v>
      </c>
      <c r="L374" s="1" t="s">
        <v>21</v>
      </c>
      <c r="M374" s="2">
        <f t="shared" si="10"/>
        <v>937</v>
      </c>
      <c r="N374" s="5">
        <f t="shared" si="11"/>
        <v>0.84</v>
      </c>
      <c r="O374" s="17" t="s">
        <v>1208</v>
      </c>
    </row>
    <row r="375" spans="1:15" ht="18.75" x14ac:dyDescent="0.3">
      <c r="A375" s="1" t="s">
        <v>1069</v>
      </c>
      <c r="B375" s="1" t="s">
        <v>43</v>
      </c>
      <c r="C375" s="1" t="s">
        <v>44</v>
      </c>
      <c r="D375" s="3">
        <v>449</v>
      </c>
      <c r="E375" s="2">
        <v>349</v>
      </c>
      <c r="F375" s="4">
        <v>0.22</v>
      </c>
      <c r="G375">
        <v>4.3</v>
      </c>
      <c r="H375" s="1" t="s">
        <v>29</v>
      </c>
      <c r="I375" s="1" t="s">
        <v>1167</v>
      </c>
      <c r="J375" s="1" t="s">
        <v>1178</v>
      </c>
      <c r="K375" s="1" t="s">
        <v>41</v>
      </c>
      <c r="L375" s="1" t="s">
        <v>21</v>
      </c>
      <c r="M375" s="2">
        <f t="shared" si="10"/>
        <v>798</v>
      </c>
      <c r="N375" s="5">
        <f t="shared" si="11"/>
        <v>0.84</v>
      </c>
      <c r="O375" s="17" t="s">
        <v>1208</v>
      </c>
    </row>
    <row r="376" spans="1:15" ht="18.75" x14ac:dyDescent="0.3">
      <c r="A376" s="1" t="s">
        <v>1070</v>
      </c>
      <c r="B376" s="1" t="s">
        <v>1071</v>
      </c>
      <c r="C376" s="1" t="s">
        <v>1072</v>
      </c>
      <c r="D376" s="3">
        <v>1099</v>
      </c>
      <c r="E376" s="2">
        <v>300</v>
      </c>
      <c r="F376" s="4">
        <v>0.72</v>
      </c>
      <c r="G376">
        <v>4.4000000000000004</v>
      </c>
      <c r="H376" s="1" t="s">
        <v>17</v>
      </c>
      <c r="I376" s="1" t="s">
        <v>1172</v>
      </c>
      <c r="J376" s="1" t="s">
        <v>1178</v>
      </c>
      <c r="K376" s="1" t="s">
        <v>763</v>
      </c>
      <c r="L376" s="1" t="s">
        <v>21</v>
      </c>
      <c r="M376" s="2">
        <f t="shared" si="10"/>
        <v>1399</v>
      </c>
      <c r="N376" s="5">
        <f t="shared" si="11"/>
        <v>0.84</v>
      </c>
      <c r="O376" s="17" t="s">
        <v>1209</v>
      </c>
    </row>
    <row r="377" spans="1:15" ht="18.75" x14ac:dyDescent="0.3">
      <c r="A377" s="1" t="s">
        <v>1074</v>
      </c>
      <c r="B377" s="1" t="s">
        <v>790</v>
      </c>
      <c r="C377" s="1" t="s">
        <v>791</v>
      </c>
      <c r="D377" s="3">
        <v>759</v>
      </c>
      <c r="E377" s="2">
        <v>120</v>
      </c>
      <c r="F377" s="4">
        <v>0.84</v>
      </c>
      <c r="G377">
        <v>3.5</v>
      </c>
      <c r="H377" s="1" t="s">
        <v>29</v>
      </c>
      <c r="I377" s="1" t="s">
        <v>1173</v>
      </c>
      <c r="J377" s="1" t="s">
        <v>1177</v>
      </c>
      <c r="K377" s="1" t="s">
        <v>795</v>
      </c>
      <c r="L377" s="1" t="s">
        <v>21</v>
      </c>
      <c r="M377" s="2">
        <f t="shared" si="10"/>
        <v>879</v>
      </c>
      <c r="N377" s="5">
        <f t="shared" si="11"/>
        <v>0.84</v>
      </c>
      <c r="O377" s="17" t="s">
        <v>1208</v>
      </c>
    </row>
    <row r="378" spans="1:15" ht="18.75" x14ac:dyDescent="0.3">
      <c r="A378" s="1" t="s">
        <v>1075</v>
      </c>
      <c r="B378" s="1" t="s">
        <v>1076</v>
      </c>
      <c r="C378" s="1" t="s">
        <v>1077</v>
      </c>
      <c r="D378" s="3">
        <v>599</v>
      </c>
      <c r="E378" s="2">
        <v>177</v>
      </c>
      <c r="F378" s="4">
        <v>0.7</v>
      </c>
      <c r="G378">
        <v>3.4</v>
      </c>
      <c r="H378" s="1" t="s">
        <v>17</v>
      </c>
      <c r="I378" s="1" t="s">
        <v>1174</v>
      </c>
      <c r="J378" s="1" t="s">
        <v>1177</v>
      </c>
      <c r="K378" s="1" t="s">
        <v>1078</v>
      </c>
      <c r="L378" s="1" t="s">
        <v>21</v>
      </c>
      <c r="M378" s="2">
        <f t="shared" si="10"/>
        <v>776</v>
      </c>
      <c r="N378" s="5">
        <f t="shared" si="11"/>
        <v>0.84</v>
      </c>
      <c r="O378" s="17" t="s">
        <v>1209</v>
      </c>
    </row>
    <row r="379" spans="1:15" ht="18.75" x14ac:dyDescent="0.3">
      <c r="A379" s="1" t="s">
        <v>1079</v>
      </c>
      <c r="B379" s="1" t="s">
        <v>929</v>
      </c>
      <c r="C379" s="1" t="s">
        <v>930</v>
      </c>
      <c r="D379" s="3">
        <v>299</v>
      </c>
      <c r="E379" s="2">
        <v>145</v>
      </c>
      <c r="F379" s="4">
        <v>0.51</v>
      </c>
      <c r="G379">
        <v>4.3</v>
      </c>
      <c r="H379" s="1" t="s">
        <v>17</v>
      </c>
      <c r="I379" s="1" t="s">
        <v>1173</v>
      </c>
      <c r="J379" s="1" t="s">
        <v>1177</v>
      </c>
      <c r="K379" s="1" t="s">
        <v>55</v>
      </c>
      <c r="L379" s="1" t="s">
        <v>21</v>
      </c>
      <c r="M379" s="2">
        <f t="shared" si="10"/>
        <v>444</v>
      </c>
      <c r="N379" s="5">
        <f t="shared" si="11"/>
        <v>0.84</v>
      </c>
      <c r="O379" s="17" t="s">
        <v>1208</v>
      </c>
    </row>
    <row r="380" spans="1:15" ht="18.75" x14ac:dyDescent="0.3">
      <c r="A380" s="1" t="s">
        <v>1080</v>
      </c>
      <c r="B380" s="1" t="s">
        <v>43</v>
      </c>
      <c r="C380" s="1" t="s">
        <v>44</v>
      </c>
      <c r="D380" s="3">
        <v>449</v>
      </c>
      <c r="E380" s="2">
        <v>349</v>
      </c>
      <c r="F380" s="4">
        <v>0.22</v>
      </c>
      <c r="G380">
        <v>4.3</v>
      </c>
      <c r="H380" s="1" t="s">
        <v>29</v>
      </c>
      <c r="I380" s="1" t="s">
        <v>1167</v>
      </c>
      <c r="J380" s="1" t="s">
        <v>1178</v>
      </c>
      <c r="K380" s="1" t="s">
        <v>41</v>
      </c>
      <c r="L380" s="1" t="s">
        <v>21</v>
      </c>
      <c r="M380" s="2">
        <f t="shared" si="10"/>
        <v>798</v>
      </c>
      <c r="N380" s="5">
        <f t="shared" si="11"/>
        <v>0.84</v>
      </c>
      <c r="O380" s="17" t="s">
        <v>1208</v>
      </c>
    </row>
    <row r="381" spans="1:15" ht="18.75" x14ac:dyDescent="0.3">
      <c r="A381" s="1" t="s">
        <v>1081</v>
      </c>
      <c r="B381" s="1" t="s">
        <v>78</v>
      </c>
      <c r="C381" s="1" t="s">
        <v>79</v>
      </c>
      <c r="D381" s="3">
        <v>499</v>
      </c>
      <c r="E381" s="2">
        <v>424</v>
      </c>
      <c r="F381" s="4">
        <v>0.15</v>
      </c>
      <c r="G381">
        <v>4.3</v>
      </c>
      <c r="H381" s="1" t="s">
        <v>29</v>
      </c>
      <c r="I381" s="1" t="s">
        <v>1169</v>
      </c>
      <c r="J381" s="1" t="s">
        <v>1178</v>
      </c>
      <c r="K381" s="1" t="s">
        <v>41</v>
      </c>
      <c r="L381" s="1" t="s">
        <v>21</v>
      </c>
      <c r="M381" s="2">
        <f t="shared" si="10"/>
        <v>923</v>
      </c>
      <c r="N381" s="5">
        <f t="shared" si="11"/>
        <v>0.84</v>
      </c>
      <c r="O381" s="17" t="s">
        <v>1208</v>
      </c>
    </row>
    <row r="382" spans="1:15" ht="18.75" x14ac:dyDescent="0.3">
      <c r="A382" s="1" t="s">
        <v>1082</v>
      </c>
      <c r="B382" s="1" t="s">
        <v>1083</v>
      </c>
      <c r="C382" s="1" t="s">
        <v>1084</v>
      </c>
      <c r="D382" s="3">
        <v>579</v>
      </c>
      <c r="E382" s="2">
        <v>135</v>
      </c>
      <c r="F382" s="4">
        <v>0.76</v>
      </c>
      <c r="G382">
        <v>3.3</v>
      </c>
      <c r="H382" s="1" t="s">
        <v>29</v>
      </c>
      <c r="I382" s="1" t="s">
        <v>1173</v>
      </c>
      <c r="J382" s="1" t="s">
        <v>1177</v>
      </c>
      <c r="K382" s="1" t="s">
        <v>490</v>
      </c>
      <c r="L382" s="1" t="s">
        <v>21</v>
      </c>
      <c r="M382" s="2">
        <f t="shared" si="10"/>
        <v>714</v>
      </c>
      <c r="N382" s="5">
        <f t="shared" si="11"/>
        <v>0.84</v>
      </c>
      <c r="O382" s="17" t="s">
        <v>1208</v>
      </c>
    </row>
    <row r="383" spans="1:15" ht="18.75" x14ac:dyDescent="0.3">
      <c r="A383" s="1" t="s">
        <v>1086</v>
      </c>
      <c r="B383" s="1" t="s">
        <v>940</v>
      </c>
      <c r="C383" s="1" t="s">
        <v>1087</v>
      </c>
      <c r="D383" s="3">
        <v>499</v>
      </c>
      <c r="E383" s="2">
        <v>135</v>
      </c>
      <c r="F383" s="4">
        <v>0.72</v>
      </c>
      <c r="G383">
        <v>4</v>
      </c>
      <c r="H383" s="1" t="s">
        <v>29</v>
      </c>
      <c r="I383" s="1" t="s">
        <v>1173</v>
      </c>
      <c r="J383" s="1" t="s">
        <v>1177</v>
      </c>
      <c r="K383" s="1" t="s">
        <v>258</v>
      </c>
      <c r="L383" s="1" t="s">
        <v>21</v>
      </c>
      <c r="M383" s="2">
        <f t="shared" si="10"/>
        <v>634</v>
      </c>
      <c r="N383" s="5">
        <f t="shared" si="11"/>
        <v>0.84</v>
      </c>
      <c r="O383" s="17" t="s">
        <v>1208</v>
      </c>
    </row>
    <row r="384" spans="1:15" ht="18.75" x14ac:dyDescent="0.3">
      <c r="A384" s="1" t="s">
        <v>1088</v>
      </c>
      <c r="B384" s="1" t="s">
        <v>33</v>
      </c>
      <c r="C384" s="1" t="s">
        <v>34</v>
      </c>
      <c r="D384" s="3">
        <v>449</v>
      </c>
      <c r="E384" s="2">
        <v>359</v>
      </c>
      <c r="F384" s="4">
        <v>0.2</v>
      </c>
      <c r="G384">
        <v>4.4000000000000004</v>
      </c>
      <c r="H384" s="1" t="s">
        <v>29</v>
      </c>
      <c r="I384" s="1" t="s">
        <v>1167</v>
      </c>
      <c r="J384" s="1" t="s">
        <v>1178</v>
      </c>
      <c r="K384" s="1" t="s">
        <v>41</v>
      </c>
      <c r="L384" s="1" t="s">
        <v>21</v>
      </c>
      <c r="M384" s="2">
        <f t="shared" si="10"/>
        <v>808</v>
      </c>
      <c r="N384" s="5">
        <f t="shared" si="11"/>
        <v>0.84</v>
      </c>
      <c r="O384" s="17" t="s">
        <v>1208</v>
      </c>
    </row>
    <row r="385" spans="1:15" ht="18.75" x14ac:dyDescent="0.3">
      <c r="A385" s="1" t="s">
        <v>1089</v>
      </c>
      <c r="B385" s="1" t="s">
        <v>78</v>
      </c>
      <c r="C385" s="1" t="s">
        <v>79</v>
      </c>
      <c r="D385" s="3">
        <v>449</v>
      </c>
      <c r="E385" s="2">
        <v>335</v>
      </c>
      <c r="F385" s="4">
        <v>0.25</v>
      </c>
      <c r="G385">
        <v>4</v>
      </c>
      <c r="H385" s="1" t="s">
        <v>29</v>
      </c>
      <c r="I385" s="1" t="s">
        <v>1169</v>
      </c>
      <c r="J385" s="1" t="s">
        <v>1178</v>
      </c>
      <c r="K385" s="1" t="s">
        <v>41</v>
      </c>
      <c r="L385" s="1" t="s">
        <v>21</v>
      </c>
      <c r="M385" s="2">
        <f t="shared" si="10"/>
        <v>784</v>
      </c>
      <c r="N385" s="5">
        <f t="shared" si="11"/>
        <v>0.84</v>
      </c>
      <c r="O385" s="17" t="s">
        <v>1208</v>
      </c>
    </row>
    <row r="386" spans="1:15" ht="18.75" x14ac:dyDescent="0.3">
      <c r="A386" s="1" t="s">
        <v>1090</v>
      </c>
      <c r="B386" s="1" t="s">
        <v>1091</v>
      </c>
      <c r="C386" s="1" t="s">
        <v>1092</v>
      </c>
      <c r="D386" s="3">
        <v>789</v>
      </c>
      <c r="E386" s="2">
        <v>286</v>
      </c>
      <c r="F386" s="4">
        <v>0.63</v>
      </c>
      <c r="G386">
        <v>3.3</v>
      </c>
      <c r="H386" s="1" t="s">
        <v>29</v>
      </c>
      <c r="I386" s="1" t="s">
        <v>1174</v>
      </c>
      <c r="J386" s="1" t="s">
        <v>1179</v>
      </c>
      <c r="K386" s="1" t="s">
        <v>169</v>
      </c>
      <c r="L386" s="1" t="s">
        <v>21</v>
      </c>
      <c r="M386" s="2">
        <f t="shared" si="10"/>
        <v>1075</v>
      </c>
      <c r="N386" s="5">
        <f t="shared" si="11"/>
        <v>0.84</v>
      </c>
      <c r="O386" s="17" t="s">
        <v>1208</v>
      </c>
    </row>
    <row r="387" spans="1:15" ht="18.75" x14ac:dyDescent="0.3">
      <c r="A387" s="1" t="s">
        <v>1095</v>
      </c>
      <c r="B387" s="1" t="s">
        <v>539</v>
      </c>
      <c r="C387" s="1" t="s">
        <v>540</v>
      </c>
      <c r="D387" s="3">
        <v>499</v>
      </c>
      <c r="E387" s="2">
        <v>142</v>
      </c>
      <c r="F387" s="4">
        <v>0.71</v>
      </c>
      <c r="G387">
        <v>3.3</v>
      </c>
      <c r="H387" s="1" t="s">
        <v>17</v>
      </c>
      <c r="I387" s="1" t="s">
        <v>1173</v>
      </c>
      <c r="J387" s="1" t="s">
        <v>1177</v>
      </c>
      <c r="K387" s="1" t="s">
        <v>258</v>
      </c>
      <c r="L387" s="1" t="s">
        <v>21</v>
      </c>
      <c r="M387" s="2">
        <f t="shared" ref="M387:M441" si="12">SUM(D387,E387)</f>
        <v>641</v>
      </c>
      <c r="N387" s="5">
        <f t="shared" ref="N387:N441" si="13">MAX(F387:F826)</f>
        <v>0.84</v>
      </c>
      <c r="O387" s="17" t="s">
        <v>1208</v>
      </c>
    </row>
    <row r="388" spans="1:15" ht="18.75" x14ac:dyDescent="0.3">
      <c r="A388" s="1" t="s">
        <v>1096</v>
      </c>
      <c r="B388" s="1" t="s">
        <v>1097</v>
      </c>
      <c r="C388" s="1" t="s">
        <v>1098</v>
      </c>
      <c r="D388" s="3">
        <v>998</v>
      </c>
      <c r="E388" s="2">
        <v>283</v>
      </c>
      <c r="F388" s="4">
        <v>0.71</v>
      </c>
      <c r="G388">
        <v>4</v>
      </c>
      <c r="H388" s="1" t="s">
        <v>29</v>
      </c>
      <c r="I388" s="1" t="s">
        <v>1173</v>
      </c>
      <c r="J388" s="1" t="s">
        <v>1179</v>
      </c>
      <c r="K388" s="1" t="s">
        <v>1100</v>
      </c>
      <c r="L388" s="1" t="s">
        <v>21</v>
      </c>
      <c r="M388" s="2">
        <f t="shared" si="12"/>
        <v>1281</v>
      </c>
      <c r="N388" s="5">
        <f t="shared" si="13"/>
        <v>0.84</v>
      </c>
      <c r="O388" s="17" t="s">
        <v>1208</v>
      </c>
    </row>
    <row r="389" spans="1:15" ht="18.75" x14ac:dyDescent="0.3">
      <c r="A389" s="1" t="s">
        <v>1101</v>
      </c>
      <c r="B389" s="1" t="s">
        <v>1102</v>
      </c>
      <c r="C389" s="1" t="s">
        <v>1103</v>
      </c>
      <c r="D389" s="3">
        <v>599</v>
      </c>
      <c r="E389" s="2">
        <v>147</v>
      </c>
      <c r="F389" s="4">
        <v>0.75</v>
      </c>
      <c r="G389">
        <v>3.4</v>
      </c>
      <c r="H389" s="1" t="s">
        <v>29</v>
      </c>
      <c r="I389" s="1" t="s">
        <v>1173</v>
      </c>
      <c r="J389" s="1" t="s">
        <v>1177</v>
      </c>
      <c r="K389" s="1" t="s">
        <v>248</v>
      </c>
      <c r="L389" s="1" t="s">
        <v>21</v>
      </c>
      <c r="M389" s="2">
        <f t="shared" si="12"/>
        <v>746</v>
      </c>
      <c r="N389" s="5">
        <f t="shared" si="13"/>
        <v>0.84</v>
      </c>
      <c r="O389" s="17" t="s">
        <v>1208</v>
      </c>
    </row>
    <row r="390" spans="1:15" ht="18.75" x14ac:dyDescent="0.3">
      <c r="A390" s="1" t="s">
        <v>1104</v>
      </c>
      <c r="B390" s="1" t="s">
        <v>78</v>
      </c>
      <c r="C390" s="1" t="s">
        <v>79</v>
      </c>
      <c r="D390" s="3">
        <v>499</v>
      </c>
      <c r="E390" s="2">
        <v>426</v>
      </c>
      <c r="F390" s="4">
        <v>0.14000000000000001</v>
      </c>
      <c r="G390">
        <v>4.2</v>
      </c>
      <c r="H390" s="1" t="s">
        <v>29</v>
      </c>
      <c r="I390" s="1" t="s">
        <v>1169</v>
      </c>
      <c r="J390" s="1" t="s">
        <v>1178</v>
      </c>
      <c r="K390" s="1" t="s">
        <v>41</v>
      </c>
      <c r="L390" s="1" t="s">
        <v>21</v>
      </c>
      <c r="M390" s="2">
        <f t="shared" si="12"/>
        <v>925</v>
      </c>
      <c r="N390" s="5">
        <f t="shared" si="13"/>
        <v>0.84</v>
      </c>
      <c r="O390" s="17" t="s">
        <v>1208</v>
      </c>
    </row>
    <row r="391" spans="1:15" ht="18.75" x14ac:dyDescent="0.3">
      <c r="A391" s="1" t="s">
        <v>1105</v>
      </c>
      <c r="B391" s="1" t="s">
        <v>78</v>
      </c>
      <c r="C391" s="1" t="s">
        <v>79</v>
      </c>
      <c r="D391" s="3">
        <v>499</v>
      </c>
      <c r="E391" s="2">
        <v>335</v>
      </c>
      <c r="F391" s="4">
        <v>0.32</v>
      </c>
      <c r="G391">
        <v>4</v>
      </c>
      <c r="H391" s="1" t="s">
        <v>29</v>
      </c>
      <c r="I391" s="1" t="s">
        <v>1169</v>
      </c>
      <c r="J391" s="1" t="s">
        <v>1178</v>
      </c>
      <c r="K391" s="1" t="s">
        <v>41</v>
      </c>
      <c r="L391" s="1" t="s">
        <v>21</v>
      </c>
      <c r="M391" s="2">
        <f t="shared" si="12"/>
        <v>834</v>
      </c>
      <c r="N391" s="5">
        <f t="shared" si="13"/>
        <v>0.84</v>
      </c>
      <c r="O391" s="17" t="s">
        <v>1209</v>
      </c>
    </row>
    <row r="392" spans="1:15" ht="18.75" x14ac:dyDescent="0.3">
      <c r="A392" s="1" t="s">
        <v>1106</v>
      </c>
      <c r="B392" s="1" t="s">
        <v>1033</v>
      </c>
      <c r="C392" s="1" t="s">
        <v>1034</v>
      </c>
      <c r="D392" s="3">
        <v>400</v>
      </c>
      <c r="E392" s="2">
        <v>179</v>
      </c>
      <c r="F392" s="4">
        <v>0.55000000000000004</v>
      </c>
      <c r="G392">
        <v>3.4</v>
      </c>
      <c r="H392" s="1" t="s">
        <v>17</v>
      </c>
      <c r="I392" s="1" t="s">
        <v>1174</v>
      </c>
      <c r="J392" s="1" t="s">
        <v>1178</v>
      </c>
      <c r="K392" s="1" t="s">
        <v>55</v>
      </c>
      <c r="L392" s="1" t="s">
        <v>21</v>
      </c>
      <c r="M392" s="2">
        <f t="shared" si="12"/>
        <v>579</v>
      </c>
      <c r="N392" s="5">
        <f t="shared" si="13"/>
        <v>0.84</v>
      </c>
      <c r="O392" s="17" t="s">
        <v>1209</v>
      </c>
    </row>
    <row r="393" spans="1:15" ht="18.75" x14ac:dyDescent="0.3">
      <c r="A393" s="1" t="s">
        <v>1108</v>
      </c>
      <c r="B393" s="1" t="s">
        <v>266</v>
      </c>
      <c r="C393" s="1" t="s">
        <v>267</v>
      </c>
      <c r="D393" s="3">
        <v>499</v>
      </c>
      <c r="E393" s="2">
        <v>144</v>
      </c>
      <c r="F393" s="4">
        <v>0.71</v>
      </c>
      <c r="G393">
        <v>2.6</v>
      </c>
      <c r="H393" s="1" t="s">
        <v>17</v>
      </c>
      <c r="I393" s="1" t="s">
        <v>1168</v>
      </c>
      <c r="J393" s="1" t="s">
        <v>1177</v>
      </c>
      <c r="K393" s="1" t="s">
        <v>88</v>
      </c>
      <c r="L393" s="1" t="s">
        <v>21</v>
      </c>
      <c r="M393" s="2">
        <f t="shared" si="12"/>
        <v>643</v>
      </c>
      <c r="N393" s="5">
        <f t="shared" si="13"/>
        <v>0.84</v>
      </c>
      <c r="O393" s="17" t="s">
        <v>1208</v>
      </c>
    </row>
    <row r="394" spans="1:15" ht="18.75" x14ac:dyDescent="0.3">
      <c r="A394" s="1" t="s">
        <v>1109</v>
      </c>
      <c r="B394" s="1" t="s">
        <v>767</v>
      </c>
      <c r="C394" s="1" t="s">
        <v>768</v>
      </c>
      <c r="D394" s="3">
        <v>999</v>
      </c>
      <c r="E394" s="2">
        <v>283</v>
      </c>
      <c r="F394" s="4">
        <v>0.71</v>
      </c>
      <c r="G394">
        <v>4</v>
      </c>
      <c r="H394" s="1" t="s">
        <v>29</v>
      </c>
      <c r="I394" s="1" t="s">
        <v>1174</v>
      </c>
      <c r="J394" s="1" t="s">
        <v>1179</v>
      </c>
      <c r="K394" s="1" t="s">
        <v>770</v>
      </c>
      <c r="L394" s="1" t="s">
        <v>21</v>
      </c>
      <c r="M394" s="2">
        <f t="shared" si="12"/>
        <v>1282</v>
      </c>
      <c r="N394" s="5">
        <f t="shared" si="13"/>
        <v>0.84</v>
      </c>
      <c r="O394" s="17" t="s">
        <v>1208</v>
      </c>
    </row>
    <row r="395" spans="1:15" ht="18.75" x14ac:dyDescent="0.3">
      <c r="A395" s="1" t="s">
        <v>1110</v>
      </c>
      <c r="B395" s="1" t="s">
        <v>1111</v>
      </c>
      <c r="C395" s="1" t="s">
        <v>1112</v>
      </c>
      <c r="D395" s="3">
        <v>499</v>
      </c>
      <c r="E395" s="2">
        <v>139</v>
      </c>
      <c r="F395" s="4">
        <v>0.72</v>
      </c>
      <c r="G395">
        <v>3.8</v>
      </c>
      <c r="H395" s="1" t="s">
        <v>29</v>
      </c>
      <c r="I395" s="1" t="s">
        <v>1174</v>
      </c>
      <c r="J395" s="1" t="s">
        <v>1179</v>
      </c>
      <c r="K395" s="1" t="s">
        <v>20</v>
      </c>
      <c r="L395" s="1" t="s">
        <v>21</v>
      </c>
      <c r="M395" s="2">
        <f t="shared" si="12"/>
        <v>638</v>
      </c>
      <c r="N395" s="5">
        <f t="shared" si="13"/>
        <v>0.84</v>
      </c>
      <c r="O395" s="17" t="s">
        <v>1208</v>
      </c>
    </row>
    <row r="396" spans="1:15" ht="18.75" x14ac:dyDescent="0.3">
      <c r="A396" s="1" t="s">
        <v>1113</v>
      </c>
      <c r="B396" s="1" t="s">
        <v>33</v>
      </c>
      <c r="C396" s="1" t="s">
        <v>34</v>
      </c>
      <c r="D396" s="3">
        <v>445</v>
      </c>
      <c r="E396" s="2">
        <v>335</v>
      </c>
      <c r="F396" s="4">
        <v>0.24</v>
      </c>
      <c r="G396">
        <v>4.4000000000000004</v>
      </c>
      <c r="H396" s="1" t="s">
        <v>29</v>
      </c>
      <c r="I396" s="1" t="s">
        <v>1167</v>
      </c>
      <c r="J396" s="1" t="s">
        <v>1178</v>
      </c>
      <c r="K396" s="1" t="s">
        <v>41</v>
      </c>
      <c r="L396" s="1" t="s">
        <v>21</v>
      </c>
      <c r="M396" s="2">
        <f t="shared" si="12"/>
        <v>780</v>
      </c>
      <c r="N396" s="5">
        <f t="shared" si="13"/>
        <v>0.84</v>
      </c>
      <c r="O396" s="17" t="s">
        <v>1208</v>
      </c>
    </row>
    <row r="397" spans="1:15" ht="18.75" x14ac:dyDescent="0.3">
      <c r="A397" s="1" t="s">
        <v>1114</v>
      </c>
      <c r="B397" s="1" t="s">
        <v>488</v>
      </c>
      <c r="C397" s="1" t="s">
        <v>489</v>
      </c>
      <c r="D397" s="3">
        <v>499</v>
      </c>
      <c r="E397" s="2">
        <v>135</v>
      </c>
      <c r="F397" s="4">
        <v>0.72</v>
      </c>
      <c r="G397">
        <v>3.4</v>
      </c>
      <c r="H397" s="1" t="s">
        <v>17</v>
      </c>
      <c r="I397" s="1" t="s">
        <v>1173</v>
      </c>
      <c r="J397" s="1" t="s">
        <v>1177</v>
      </c>
      <c r="K397" s="1" t="s">
        <v>525</v>
      </c>
      <c r="L397" s="1" t="s">
        <v>21</v>
      </c>
      <c r="M397" s="2">
        <f t="shared" si="12"/>
        <v>634</v>
      </c>
      <c r="N397" s="5">
        <f t="shared" si="13"/>
        <v>0.84</v>
      </c>
      <c r="O397" s="17" t="s">
        <v>1209</v>
      </c>
    </row>
    <row r="398" spans="1:15" ht="18.75" x14ac:dyDescent="0.3">
      <c r="A398" s="1" t="s">
        <v>1115</v>
      </c>
      <c r="B398" s="1" t="s">
        <v>1012</v>
      </c>
      <c r="C398" s="1" t="s">
        <v>1013</v>
      </c>
      <c r="D398" s="3">
        <v>349</v>
      </c>
      <c r="E398" s="2">
        <v>142</v>
      </c>
      <c r="F398" s="4">
        <v>0.59</v>
      </c>
      <c r="G398">
        <v>3.5</v>
      </c>
      <c r="H398" s="1" t="s">
        <v>29</v>
      </c>
      <c r="I398" s="1" t="s">
        <v>1173</v>
      </c>
      <c r="J398" s="1" t="s">
        <v>1180</v>
      </c>
      <c r="K398" s="1" t="s">
        <v>169</v>
      </c>
      <c r="L398" s="1" t="s">
        <v>21</v>
      </c>
      <c r="M398" s="2">
        <f t="shared" si="12"/>
        <v>491</v>
      </c>
      <c r="N398" s="5">
        <f t="shared" si="13"/>
        <v>0.84</v>
      </c>
      <c r="O398" s="17" t="s">
        <v>1209</v>
      </c>
    </row>
    <row r="399" spans="1:15" ht="18.75" x14ac:dyDescent="0.3">
      <c r="A399" s="1" t="s">
        <v>1116</v>
      </c>
      <c r="B399" s="1" t="s">
        <v>1117</v>
      </c>
      <c r="C399" s="1" t="s">
        <v>1118</v>
      </c>
      <c r="D399" s="3">
        <v>499</v>
      </c>
      <c r="E399" s="2">
        <v>167</v>
      </c>
      <c r="F399" s="4">
        <v>0.66</v>
      </c>
      <c r="G399">
        <v>3.5</v>
      </c>
      <c r="H399" s="1" t="s">
        <v>29</v>
      </c>
      <c r="I399" s="1" t="s">
        <v>1171</v>
      </c>
      <c r="J399" s="1" t="s">
        <v>1179</v>
      </c>
      <c r="K399" s="1" t="s">
        <v>1119</v>
      </c>
      <c r="L399" s="1" t="s">
        <v>21</v>
      </c>
      <c r="M399" s="2">
        <f t="shared" si="12"/>
        <v>666</v>
      </c>
      <c r="N399" s="5">
        <f t="shared" si="13"/>
        <v>0.84</v>
      </c>
      <c r="O399" s="17" t="s">
        <v>1208</v>
      </c>
    </row>
    <row r="400" spans="1:15" ht="18.75" x14ac:dyDescent="0.3">
      <c r="A400" s="1" t="s">
        <v>1120</v>
      </c>
      <c r="B400" s="1" t="s">
        <v>78</v>
      </c>
      <c r="C400" s="1" t="s">
        <v>79</v>
      </c>
      <c r="D400" s="3">
        <v>495</v>
      </c>
      <c r="E400" s="2">
        <v>331</v>
      </c>
      <c r="F400" s="4">
        <v>0.33</v>
      </c>
      <c r="G400">
        <v>4.0999999999999996</v>
      </c>
      <c r="H400" s="1" t="s">
        <v>29</v>
      </c>
      <c r="I400" s="1" t="s">
        <v>1169</v>
      </c>
      <c r="J400" s="1" t="s">
        <v>1178</v>
      </c>
      <c r="K400" s="1" t="s">
        <v>41</v>
      </c>
      <c r="L400" s="1" t="s">
        <v>21</v>
      </c>
      <c r="M400" s="2">
        <f t="shared" si="12"/>
        <v>826</v>
      </c>
      <c r="N400" s="5">
        <f t="shared" si="13"/>
        <v>0.84</v>
      </c>
      <c r="O400" s="17" t="s">
        <v>1209</v>
      </c>
    </row>
    <row r="401" spans="1:15" ht="18.75" x14ac:dyDescent="0.3">
      <c r="A401" s="1" t="s">
        <v>1121</v>
      </c>
      <c r="B401" s="1" t="s">
        <v>78</v>
      </c>
      <c r="C401" s="1" t="s">
        <v>214</v>
      </c>
      <c r="D401" s="3">
        <v>349</v>
      </c>
      <c r="E401" s="2">
        <v>325</v>
      </c>
      <c r="F401" s="4">
        <v>0.06</v>
      </c>
      <c r="G401">
        <v>4</v>
      </c>
      <c r="H401" s="1" t="s">
        <v>29</v>
      </c>
      <c r="I401" s="1" t="s">
        <v>1169</v>
      </c>
      <c r="J401" s="1" t="s">
        <v>1178</v>
      </c>
      <c r="K401" s="1" t="s">
        <v>41</v>
      </c>
      <c r="L401" s="1" t="s">
        <v>21</v>
      </c>
      <c r="M401" s="2">
        <f t="shared" si="12"/>
        <v>674</v>
      </c>
      <c r="N401" s="5">
        <f t="shared" si="13"/>
        <v>0.84</v>
      </c>
      <c r="O401" s="17" t="s">
        <v>1209</v>
      </c>
    </row>
    <row r="402" spans="1:15" x14ac:dyDescent="0.25">
      <c r="A402" s="1" t="s">
        <v>1122</v>
      </c>
      <c r="B402" s="1" t="s">
        <v>120</v>
      </c>
      <c r="C402" s="1" t="s">
        <v>121</v>
      </c>
      <c r="D402" s="3">
        <v>299</v>
      </c>
      <c r="E402" s="2">
        <v>145</v>
      </c>
      <c r="F402" s="4">
        <v>0.51</v>
      </c>
      <c r="G402">
        <v>3.5</v>
      </c>
      <c r="H402" s="1" t="s">
        <v>17</v>
      </c>
      <c r="I402" s="1" t="s">
        <v>1168</v>
      </c>
      <c r="J402" s="1" t="s">
        <v>1177</v>
      </c>
      <c r="K402" s="1" t="s">
        <v>258</v>
      </c>
      <c r="L402" s="1" t="s">
        <v>21</v>
      </c>
      <c r="M402" s="2">
        <f t="shared" si="12"/>
        <v>444</v>
      </c>
      <c r="N402" s="5">
        <f t="shared" si="13"/>
        <v>0.84</v>
      </c>
    </row>
    <row r="403" spans="1:15" x14ac:dyDescent="0.25">
      <c r="A403" s="1" t="s">
        <v>1123</v>
      </c>
      <c r="B403" s="1" t="s">
        <v>745</v>
      </c>
      <c r="C403" s="1" t="s">
        <v>746</v>
      </c>
      <c r="D403" s="3">
        <v>399</v>
      </c>
      <c r="E403" s="2">
        <v>140</v>
      </c>
      <c r="F403" s="4">
        <v>0.64</v>
      </c>
      <c r="G403">
        <v>3.6</v>
      </c>
      <c r="H403" s="1" t="s">
        <v>29</v>
      </c>
      <c r="I403" s="1" t="s">
        <v>1173</v>
      </c>
      <c r="J403" s="1" t="s">
        <v>1180</v>
      </c>
      <c r="K403" s="1" t="s">
        <v>20</v>
      </c>
      <c r="L403" s="1" t="s">
        <v>21</v>
      </c>
      <c r="M403" s="2">
        <f t="shared" si="12"/>
        <v>539</v>
      </c>
      <c r="N403" s="5">
        <f t="shared" si="13"/>
        <v>0.84</v>
      </c>
    </row>
    <row r="404" spans="1:15" x14ac:dyDescent="0.25">
      <c r="A404" s="1" t="s">
        <v>1124</v>
      </c>
      <c r="B404" s="1" t="s">
        <v>43</v>
      </c>
      <c r="C404" s="1" t="s">
        <v>44</v>
      </c>
      <c r="D404" s="3">
        <v>449</v>
      </c>
      <c r="E404" s="2">
        <v>349</v>
      </c>
      <c r="F404" s="4">
        <v>0.22</v>
      </c>
      <c r="G404">
        <v>4.3</v>
      </c>
      <c r="H404" s="1" t="s">
        <v>29</v>
      </c>
      <c r="I404" s="1" t="s">
        <v>1167</v>
      </c>
      <c r="J404" s="1" t="s">
        <v>1178</v>
      </c>
      <c r="K404" s="1" t="s">
        <v>41</v>
      </c>
      <c r="L404" s="1" t="s">
        <v>21</v>
      </c>
      <c r="M404" s="2">
        <f t="shared" si="12"/>
        <v>798</v>
      </c>
      <c r="N404" s="5">
        <f t="shared" si="13"/>
        <v>0.84</v>
      </c>
    </row>
    <row r="405" spans="1:15" x14ac:dyDescent="0.25">
      <c r="A405" s="1" t="s">
        <v>1125</v>
      </c>
      <c r="B405" s="1" t="s">
        <v>33</v>
      </c>
      <c r="C405" s="1" t="s">
        <v>34</v>
      </c>
      <c r="D405" s="3">
        <v>449</v>
      </c>
      <c r="E405" s="2">
        <v>384</v>
      </c>
      <c r="F405" s="4">
        <v>0.14000000000000001</v>
      </c>
      <c r="G405">
        <v>4.4000000000000004</v>
      </c>
      <c r="H405" s="1" t="s">
        <v>29</v>
      </c>
      <c r="I405" s="1" t="s">
        <v>1167</v>
      </c>
      <c r="J405" s="1" t="s">
        <v>1178</v>
      </c>
      <c r="K405" s="1" t="s">
        <v>41</v>
      </c>
      <c r="L405" s="1" t="s">
        <v>21</v>
      </c>
      <c r="M405" s="2">
        <f t="shared" si="12"/>
        <v>833</v>
      </c>
      <c r="N405" s="5">
        <f t="shared" si="13"/>
        <v>0.84</v>
      </c>
    </row>
    <row r="406" spans="1:15" x14ac:dyDescent="0.25">
      <c r="A406" s="1" t="s">
        <v>1126</v>
      </c>
      <c r="B406" s="1" t="s">
        <v>929</v>
      </c>
      <c r="C406" s="1" t="s">
        <v>930</v>
      </c>
      <c r="D406" s="3">
        <v>299</v>
      </c>
      <c r="E406" s="2">
        <v>145</v>
      </c>
      <c r="F406" s="4">
        <v>0.51</v>
      </c>
      <c r="G406">
        <v>3.1</v>
      </c>
      <c r="H406" s="1" t="s">
        <v>17</v>
      </c>
      <c r="I406" s="1" t="s">
        <v>1173</v>
      </c>
      <c r="J406" s="1" t="s">
        <v>1177</v>
      </c>
      <c r="K406" s="1" t="s">
        <v>55</v>
      </c>
      <c r="L406" s="1" t="s">
        <v>21</v>
      </c>
      <c r="M406" s="2">
        <f t="shared" si="12"/>
        <v>444</v>
      </c>
      <c r="N406" s="5">
        <f t="shared" si="13"/>
        <v>0.84</v>
      </c>
    </row>
    <row r="407" spans="1:15" x14ac:dyDescent="0.25">
      <c r="A407" s="1" t="s">
        <v>1127</v>
      </c>
      <c r="B407" s="1" t="s">
        <v>726</v>
      </c>
      <c r="C407" s="1" t="s">
        <v>727</v>
      </c>
      <c r="D407" s="3">
        <v>999</v>
      </c>
      <c r="E407" s="2">
        <v>220</v>
      </c>
      <c r="F407" s="4">
        <v>0.77</v>
      </c>
      <c r="G407">
        <v>4</v>
      </c>
      <c r="H407" s="1" t="s">
        <v>29</v>
      </c>
      <c r="I407" s="1" t="s">
        <v>1173</v>
      </c>
      <c r="J407" s="1" t="s">
        <v>1179</v>
      </c>
      <c r="K407" s="1" t="s">
        <v>743</v>
      </c>
      <c r="L407" s="1" t="s">
        <v>21</v>
      </c>
      <c r="M407" s="2">
        <f t="shared" si="12"/>
        <v>1219</v>
      </c>
      <c r="N407" s="5">
        <f t="shared" si="13"/>
        <v>0.84</v>
      </c>
    </row>
    <row r="408" spans="1:15" x14ac:dyDescent="0.25">
      <c r="A408" s="1" t="s">
        <v>1128</v>
      </c>
      <c r="B408" s="1" t="s">
        <v>1030</v>
      </c>
      <c r="C408" s="1" t="s">
        <v>1059</v>
      </c>
      <c r="D408" s="3">
        <v>399</v>
      </c>
      <c r="E408" s="2">
        <v>160</v>
      </c>
      <c r="F408" s="4">
        <v>0.59</v>
      </c>
      <c r="G408">
        <v>3.1</v>
      </c>
      <c r="H408" s="1" t="s">
        <v>17</v>
      </c>
      <c r="I408" s="1" t="s">
        <v>1173</v>
      </c>
      <c r="J408" s="1" t="s">
        <v>1177</v>
      </c>
      <c r="K408" s="1" t="s">
        <v>55</v>
      </c>
      <c r="L408" s="1" t="s">
        <v>21</v>
      </c>
      <c r="M408" s="2">
        <f t="shared" si="12"/>
        <v>559</v>
      </c>
      <c r="N408" s="5">
        <f t="shared" si="13"/>
        <v>0.84</v>
      </c>
    </row>
    <row r="409" spans="1:15" x14ac:dyDescent="0.25">
      <c r="A409" s="1" t="s">
        <v>1129</v>
      </c>
      <c r="B409" s="1" t="s">
        <v>539</v>
      </c>
      <c r="C409" s="1" t="s">
        <v>540</v>
      </c>
      <c r="D409" s="3">
        <v>399</v>
      </c>
      <c r="E409" s="2">
        <v>145</v>
      </c>
      <c r="F409" s="4">
        <v>0.63</v>
      </c>
      <c r="G409">
        <v>3.7</v>
      </c>
      <c r="H409" s="1" t="s">
        <v>17</v>
      </c>
      <c r="I409" s="1" t="s">
        <v>1173</v>
      </c>
      <c r="J409" s="1" t="s">
        <v>1177</v>
      </c>
      <c r="K409" s="1" t="s">
        <v>55</v>
      </c>
      <c r="L409" s="1" t="s">
        <v>21</v>
      </c>
      <c r="M409" s="2">
        <f t="shared" si="12"/>
        <v>544</v>
      </c>
      <c r="N409" s="5">
        <f t="shared" si="13"/>
        <v>0.84</v>
      </c>
    </row>
    <row r="410" spans="1:15" x14ac:dyDescent="0.25">
      <c r="A410" s="1" t="s">
        <v>1130</v>
      </c>
      <c r="B410" s="1" t="s">
        <v>78</v>
      </c>
      <c r="C410" s="1" t="s">
        <v>79</v>
      </c>
      <c r="D410" s="3">
        <v>499</v>
      </c>
      <c r="E410" s="2">
        <v>335</v>
      </c>
      <c r="F410" s="4">
        <v>0.32</v>
      </c>
      <c r="G410">
        <v>4</v>
      </c>
      <c r="H410" s="1" t="s">
        <v>29</v>
      </c>
      <c r="I410" s="1" t="s">
        <v>1169</v>
      </c>
      <c r="J410" s="1" t="s">
        <v>1178</v>
      </c>
      <c r="K410" s="1" t="s">
        <v>41</v>
      </c>
      <c r="L410" s="1" t="s">
        <v>21</v>
      </c>
      <c r="M410" s="2">
        <f t="shared" si="12"/>
        <v>834</v>
      </c>
      <c r="N410" s="5">
        <f t="shared" si="13"/>
        <v>0.84</v>
      </c>
    </row>
    <row r="411" spans="1:15" x14ac:dyDescent="0.25">
      <c r="A411" s="1" t="s">
        <v>1131</v>
      </c>
      <c r="B411" s="1" t="s">
        <v>78</v>
      </c>
      <c r="C411" s="1" t="s">
        <v>79</v>
      </c>
      <c r="D411" s="3">
        <v>749</v>
      </c>
      <c r="E411" s="2">
        <v>516</v>
      </c>
      <c r="F411" s="4">
        <v>0.31</v>
      </c>
      <c r="G411">
        <v>3.6</v>
      </c>
      <c r="H411" s="1" t="s">
        <v>29</v>
      </c>
      <c r="I411" s="1" t="s">
        <v>1169</v>
      </c>
      <c r="J411" s="1" t="s">
        <v>1178</v>
      </c>
      <c r="K411" s="1" t="s">
        <v>41</v>
      </c>
      <c r="L411" s="1" t="s">
        <v>21</v>
      </c>
      <c r="M411" s="2">
        <f t="shared" si="12"/>
        <v>1265</v>
      </c>
      <c r="N411" s="5">
        <f t="shared" si="13"/>
        <v>0.84</v>
      </c>
    </row>
    <row r="412" spans="1:15" x14ac:dyDescent="0.25">
      <c r="A412" s="1" t="s">
        <v>1132</v>
      </c>
      <c r="B412" s="1" t="s">
        <v>1064</v>
      </c>
      <c r="C412" s="1" t="s">
        <v>1065</v>
      </c>
      <c r="D412" s="3">
        <v>299</v>
      </c>
      <c r="E412" s="2">
        <v>145</v>
      </c>
      <c r="F412" s="4">
        <v>0.51</v>
      </c>
      <c r="G412">
        <v>3.3</v>
      </c>
      <c r="H412" s="1" t="s">
        <v>17</v>
      </c>
      <c r="I412" s="1" t="s">
        <v>1173</v>
      </c>
      <c r="J412" s="1" t="s">
        <v>1177</v>
      </c>
      <c r="K412" s="1" t="s">
        <v>55</v>
      </c>
      <c r="L412" s="1" t="s">
        <v>21</v>
      </c>
      <c r="M412" s="2">
        <f t="shared" si="12"/>
        <v>444</v>
      </c>
      <c r="N412" s="5">
        <f t="shared" si="13"/>
        <v>0.84</v>
      </c>
    </row>
    <row r="413" spans="1:15" x14ac:dyDescent="0.25">
      <c r="A413" s="1" t="s">
        <v>1133</v>
      </c>
      <c r="B413" s="1" t="s">
        <v>781</v>
      </c>
      <c r="C413" s="1" t="s">
        <v>782</v>
      </c>
      <c r="D413" s="3">
        <v>699</v>
      </c>
      <c r="E413" s="2">
        <v>212</v>
      </c>
      <c r="F413" s="4">
        <v>0.69</v>
      </c>
      <c r="G413">
        <v>4</v>
      </c>
      <c r="H413" s="1" t="s">
        <v>17</v>
      </c>
      <c r="I413" s="1" t="s">
        <v>1170</v>
      </c>
      <c r="J413" s="1" t="s">
        <v>1179</v>
      </c>
      <c r="K413" s="1" t="s">
        <v>784</v>
      </c>
      <c r="L413" s="1" t="s">
        <v>21</v>
      </c>
      <c r="M413" s="2">
        <f t="shared" si="12"/>
        <v>911</v>
      </c>
      <c r="N413" s="5">
        <f t="shared" si="13"/>
        <v>0.84</v>
      </c>
    </row>
    <row r="414" spans="1:15" x14ac:dyDescent="0.25">
      <c r="A414" s="1" t="s">
        <v>1134</v>
      </c>
      <c r="B414" s="1" t="s">
        <v>101</v>
      </c>
      <c r="C414" s="1" t="s">
        <v>102</v>
      </c>
      <c r="D414" s="3">
        <v>549</v>
      </c>
      <c r="E414" s="2">
        <v>388</v>
      </c>
      <c r="F414" s="4">
        <v>0.28999999999999998</v>
      </c>
      <c r="G414">
        <v>4.3</v>
      </c>
      <c r="H414" s="1" t="s">
        <v>29</v>
      </c>
      <c r="I414" s="1" t="s">
        <v>1171</v>
      </c>
      <c r="J414" s="1" t="s">
        <v>1178</v>
      </c>
      <c r="K414" s="1" t="s">
        <v>41</v>
      </c>
      <c r="L414" s="1" t="s">
        <v>21</v>
      </c>
      <c r="M414" s="2">
        <f t="shared" si="12"/>
        <v>937</v>
      </c>
      <c r="N414" s="5">
        <f t="shared" si="13"/>
        <v>0.84</v>
      </c>
    </row>
    <row r="415" spans="1:15" x14ac:dyDescent="0.25">
      <c r="A415" s="1" t="s">
        <v>1135</v>
      </c>
      <c r="B415" s="1" t="s">
        <v>43</v>
      </c>
      <c r="C415" s="1" t="s">
        <v>44</v>
      </c>
      <c r="D415" s="3">
        <v>449</v>
      </c>
      <c r="E415" s="2">
        <v>349</v>
      </c>
      <c r="F415" s="4">
        <v>0.22</v>
      </c>
      <c r="G415">
        <v>4.3</v>
      </c>
      <c r="H415" s="1" t="s">
        <v>29</v>
      </c>
      <c r="I415" s="1" t="s">
        <v>1167</v>
      </c>
      <c r="J415" s="1" t="s">
        <v>1178</v>
      </c>
      <c r="K415" s="1" t="s">
        <v>41</v>
      </c>
      <c r="L415" s="1" t="s">
        <v>21</v>
      </c>
      <c r="M415" s="2">
        <f t="shared" si="12"/>
        <v>798</v>
      </c>
      <c r="N415" s="5">
        <f t="shared" si="13"/>
        <v>0.84</v>
      </c>
    </row>
    <row r="416" spans="1:15" x14ac:dyDescent="0.25">
      <c r="A416" s="1" t="s">
        <v>1136</v>
      </c>
      <c r="B416" s="1" t="s">
        <v>1071</v>
      </c>
      <c r="C416" s="1" t="s">
        <v>1072</v>
      </c>
      <c r="D416" s="3">
        <v>1099</v>
      </c>
      <c r="E416" s="2">
        <v>300</v>
      </c>
      <c r="F416" s="4">
        <v>0.72</v>
      </c>
      <c r="G416">
        <v>4.4000000000000004</v>
      </c>
      <c r="H416" s="1" t="s">
        <v>17</v>
      </c>
      <c r="I416" s="1" t="s">
        <v>1172</v>
      </c>
      <c r="J416" s="1" t="s">
        <v>1178</v>
      </c>
      <c r="K416" s="1" t="s">
        <v>763</v>
      </c>
      <c r="L416" s="1" t="s">
        <v>21</v>
      </c>
      <c r="M416" s="2">
        <f t="shared" si="12"/>
        <v>1399</v>
      </c>
      <c r="N416" s="5">
        <f t="shared" si="13"/>
        <v>0.84</v>
      </c>
    </row>
    <row r="417" spans="1:14" x14ac:dyDescent="0.25">
      <c r="A417" s="1" t="s">
        <v>1137</v>
      </c>
      <c r="B417" s="1" t="s">
        <v>790</v>
      </c>
      <c r="C417" s="1" t="s">
        <v>791</v>
      </c>
      <c r="D417" s="3">
        <v>759</v>
      </c>
      <c r="E417" s="2">
        <v>120</v>
      </c>
      <c r="F417" s="4">
        <v>0.84</v>
      </c>
      <c r="G417">
        <v>3.5</v>
      </c>
      <c r="H417" s="1" t="s">
        <v>29</v>
      </c>
      <c r="I417" s="1" t="s">
        <v>1173</v>
      </c>
      <c r="J417" s="1" t="s">
        <v>1177</v>
      </c>
      <c r="K417" s="1" t="s">
        <v>795</v>
      </c>
      <c r="L417" s="1" t="s">
        <v>21</v>
      </c>
      <c r="M417" s="2">
        <f t="shared" si="12"/>
        <v>879</v>
      </c>
      <c r="N417" s="5">
        <f t="shared" si="13"/>
        <v>0.84</v>
      </c>
    </row>
    <row r="418" spans="1:14" x14ac:dyDescent="0.25">
      <c r="A418" s="1" t="s">
        <v>1138</v>
      </c>
      <c r="B418" s="1" t="s">
        <v>1076</v>
      </c>
      <c r="C418" s="1" t="s">
        <v>1077</v>
      </c>
      <c r="D418" s="3">
        <v>599</v>
      </c>
      <c r="E418" s="2">
        <v>177</v>
      </c>
      <c r="F418" s="4">
        <v>0.7</v>
      </c>
      <c r="G418">
        <v>3.4</v>
      </c>
      <c r="H418" s="1" t="s">
        <v>17</v>
      </c>
      <c r="I418" s="1" t="s">
        <v>1174</v>
      </c>
      <c r="J418" s="1" t="s">
        <v>1177</v>
      </c>
      <c r="K418" s="1" t="s">
        <v>1078</v>
      </c>
      <c r="L418" s="1" t="s">
        <v>21</v>
      </c>
      <c r="M418" s="2">
        <f t="shared" si="12"/>
        <v>776</v>
      </c>
      <c r="N418" s="5">
        <f t="shared" si="13"/>
        <v>0.76</v>
      </c>
    </row>
    <row r="419" spans="1:14" x14ac:dyDescent="0.25">
      <c r="A419" s="1" t="s">
        <v>1139</v>
      </c>
      <c r="B419" s="1" t="s">
        <v>929</v>
      </c>
      <c r="C419" s="1" t="s">
        <v>930</v>
      </c>
      <c r="D419" s="3">
        <v>299</v>
      </c>
      <c r="E419" s="2">
        <v>145</v>
      </c>
      <c r="F419" s="4">
        <v>0.51</v>
      </c>
      <c r="G419">
        <v>4.3</v>
      </c>
      <c r="H419" s="1" t="s">
        <v>17</v>
      </c>
      <c r="I419" s="1" t="s">
        <v>1173</v>
      </c>
      <c r="J419" s="1" t="s">
        <v>1177</v>
      </c>
      <c r="K419" s="1" t="s">
        <v>55</v>
      </c>
      <c r="L419" s="1" t="s">
        <v>21</v>
      </c>
      <c r="M419" s="2">
        <f t="shared" si="12"/>
        <v>444</v>
      </c>
      <c r="N419" s="5">
        <f t="shared" si="13"/>
        <v>0.76</v>
      </c>
    </row>
    <row r="420" spans="1:14" x14ac:dyDescent="0.25">
      <c r="A420" s="1" t="s">
        <v>1140</v>
      </c>
      <c r="B420" s="1" t="s">
        <v>43</v>
      </c>
      <c r="C420" s="1" t="s">
        <v>44</v>
      </c>
      <c r="D420" s="3">
        <v>449</v>
      </c>
      <c r="E420" s="2">
        <v>349</v>
      </c>
      <c r="F420" s="4">
        <v>0.22</v>
      </c>
      <c r="G420">
        <v>4.3</v>
      </c>
      <c r="H420" s="1" t="s">
        <v>29</v>
      </c>
      <c r="I420" s="1" t="s">
        <v>1167</v>
      </c>
      <c r="J420" s="1" t="s">
        <v>1178</v>
      </c>
      <c r="K420" s="1" t="s">
        <v>41</v>
      </c>
      <c r="L420" s="1" t="s">
        <v>21</v>
      </c>
      <c r="M420" s="2">
        <f t="shared" si="12"/>
        <v>798</v>
      </c>
      <c r="N420" s="5">
        <f t="shared" si="13"/>
        <v>0.76</v>
      </c>
    </row>
    <row r="421" spans="1:14" x14ac:dyDescent="0.25">
      <c r="A421" s="1" t="s">
        <v>1141</v>
      </c>
      <c r="B421" s="1" t="s">
        <v>78</v>
      </c>
      <c r="C421" s="1" t="s">
        <v>79</v>
      </c>
      <c r="D421" s="3">
        <v>499</v>
      </c>
      <c r="E421" s="2">
        <v>424</v>
      </c>
      <c r="F421" s="4">
        <v>0.15</v>
      </c>
      <c r="G421">
        <v>4.3</v>
      </c>
      <c r="H421" s="1" t="s">
        <v>29</v>
      </c>
      <c r="I421" s="1" t="s">
        <v>1169</v>
      </c>
      <c r="J421" s="1" t="s">
        <v>1178</v>
      </c>
      <c r="K421" s="1" t="s">
        <v>41</v>
      </c>
      <c r="L421" s="1" t="s">
        <v>21</v>
      </c>
      <c r="M421" s="2">
        <f t="shared" si="12"/>
        <v>923</v>
      </c>
      <c r="N421" s="5">
        <f t="shared" si="13"/>
        <v>0.76</v>
      </c>
    </row>
    <row r="422" spans="1:14" x14ac:dyDescent="0.25">
      <c r="A422" s="1" t="s">
        <v>1142</v>
      </c>
      <c r="B422" s="1" t="s">
        <v>1083</v>
      </c>
      <c r="C422" s="1" t="s">
        <v>1084</v>
      </c>
      <c r="D422" s="3">
        <v>579</v>
      </c>
      <c r="E422" s="2">
        <v>135</v>
      </c>
      <c r="F422" s="4">
        <v>0.76</v>
      </c>
      <c r="G422">
        <v>3.3</v>
      </c>
      <c r="H422" s="1" t="s">
        <v>29</v>
      </c>
      <c r="I422" s="1" t="s">
        <v>1173</v>
      </c>
      <c r="J422" s="1" t="s">
        <v>1177</v>
      </c>
      <c r="K422" s="1" t="s">
        <v>490</v>
      </c>
      <c r="L422" s="1" t="s">
        <v>21</v>
      </c>
      <c r="M422" s="2">
        <f t="shared" si="12"/>
        <v>714</v>
      </c>
      <c r="N422" s="5">
        <f t="shared" si="13"/>
        <v>0.76</v>
      </c>
    </row>
    <row r="423" spans="1:14" x14ac:dyDescent="0.25">
      <c r="A423" s="1" t="s">
        <v>1143</v>
      </c>
      <c r="B423" s="1" t="s">
        <v>940</v>
      </c>
      <c r="C423" s="1" t="s">
        <v>1087</v>
      </c>
      <c r="D423" s="3">
        <v>499</v>
      </c>
      <c r="E423" s="2">
        <v>135</v>
      </c>
      <c r="F423" s="4">
        <v>0.72</v>
      </c>
      <c r="G423">
        <v>4</v>
      </c>
      <c r="H423" s="1" t="s">
        <v>29</v>
      </c>
      <c r="I423" s="1" t="s">
        <v>1173</v>
      </c>
      <c r="J423" s="1" t="s">
        <v>1177</v>
      </c>
      <c r="K423" s="1" t="s">
        <v>258</v>
      </c>
      <c r="L423" s="1" t="s">
        <v>21</v>
      </c>
      <c r="M423" s="2">
        <f t="shared" si="12"/>
        <v>634</v>
      </c>
      <c r="N423" s="5">
        <f t="shared" si="13"/>
        <v>0.75</v>
      </c>
    </row>
    <row r="424" spans="1:14" x14ac:dyDescent="0.25">
      <c r="A424" s="1" t="s">
        <v>1144</v>
      </c>
      <c r="B424" s="1" t="s">
        <v>33</v>
      </c>
      <c r="C424" s="1" t="s">
        <v>34</v>
      </c>
      <c r="D424" s="3">
        <v>449</v>
      </c>
      <c r="E424" s="2">
        <v>359</v>
      </c>
      <c r="F424" s="4">
        <v>0.2</v>
      </c>
      <c r="G424">
        <v>4.4000000000000004</v>
      </c>
      <c r="H424" s="1" t="s">
        <v>29</v>
      </c>
      <c r="I424" s="1" t="s">
        <v>1167</v>
      </c>
      <c r="J424" s="1" t="s">
        <v>1178</v>
      </c>
      <c r="K424" s="1" t="s">
        <v>41</v>
      </c>
      <c r="L424" s="1" t="s">
        <v>21</v>
      </c>
      <c r="M424" s="2">
        <f t="shared" si="12"/>
        <v>808</v>
      </c>
      <c r="N424" s="5">
        <f t="shared" si="13"/>
        <v>0.75</v>
      </c>
    </row>
    <row r="425" spans="1:14" x14ac:dyDescent="0.25">
      <c r="A425" s="1" t="s">
        <v>1145</v>
      </c>
      <c r="B425" s="1" t="s">
        <v>78</v>
      </c>
      <c r="C425" s="1" t="s">
        <v>79</v>
      </c>
      <c r="D425" s="3">
        <v>449</v>
      </c>
      <c r="E425" s="2">
        <v>335</v>
      </c>
      <c r="F425" s="4">
        <v>0.25</v>
      </c>
      <c r="G425">
        <v>4</v>
      </c>
      <c r="H425" s="1" t="s">
        <v>29</v>
      </c>
      <c r="I425" s="1" t="s">
        <v>1169</v>
      </c>
      <c r="J425" s="1" t="s">
        <v>1178</v>
      </c>
      <c r="K425" s="1" t="s">
        <v>41</v>
      </c>
      <c r="L425" s="1" t="s">
        <v>21</v>
      </c>
      <c r="M425" s="2">
        <f t="shared" si="12"/>
        <v>784</v>
      </c>
      <c r="N425" s="5">
        <f t="shared" si="13"/>
        <v>0.75</v>
      </c>
    </row>
    <row r="426" spans="1:14" x14ac:dyDescent="0.25">
      <c r="A426" s="1" t="s">
        <v>1146</v>
      </c>
      <c r="B426" s="1" t="s">
        <v>1091</v>
      </c>
      <c r="C426" s="1" t="s">
        <v>1092</v>
      </c>
      <c r="D426" s="3">
        <v>789</v>
      </c>
      <c r="E426" s="2">
        <v>286</v>
      </c>
      <c r="F426" s="4">
        <v>0.63</v>
      </c>
      <c r="G426">
        <v>3.3</v>
      </c>
      <c r="H426" s="1" t="s">
        <v>29</v>
      </c>
      <c r="I426" s="1" t="s">
        <v>1174</v>
      </c>
      <c r="J426" s="1" t="s">
        <v>1179</v>
      </c>
      <c r="K426" s="1" t="s">
        <v>169</v>
      </c>
      <c r="L426" s="1" t="s">
        <v>21</v>
      </c>
      <c r="M426" s="2">
        <f t="shared" si="12"/>
        <v>1075</v>
      </c>
      <c r="N426" s="5">
        <f t="shared" si="13"/>
        <v>0.75</v>
      </c>
    </row>
    <row r="427" spans="1:14" x14ac:dyDescent="0.25">
      <c r="A427" s="1" t="s">
        <v>1147</v>
      </c>
      <c r="B427" s="1" t="s">
        <v>539</v>
      </c>
      <c r="C427" s="1" t="s">
        <v>540</v>
      </c>
      <c r="D427" s="3">
        <v>499</v>
      </c>
      <c r="E427" s="2">
        <v>142</v>
      </c>
      <c r="F427" s="4">
        <v>0.71</v>
      </c>
      <c r="G427">
        <v>3.3</v>
      </c>
      <c r="H427" s="1" t="s">
        <v>17</v>
      </c>
      <c r="I427" s="1" t="s">
        <v>1173</v>
      </c>
      <c r="J427" s="1" t="s">
        <v>1177</v>
      </c>
      <c r="K427" s="1" t="s">
        <v>258</v>
      </c>
      <c r="L427" s="1" t="s">
        <v>21</v>
      </c>
      <c r="M427" s="2">
        <f t="shared" si="12"/>
        <v>641</v>
      </c>
      <c r="N427" s="5">
        <f t="shared" si="13"/>
        <v>0.75</v>
      </c>
    </row>
    <row r="428" spans="1:14" x14ac:dyDescent="0.25">
      <c r="A428" s="1" t="s">
        <v>1148</v>
      </c>
      <c r="B428" s="1" t="s">
        <v>1097</v>
      </c>
      <c r="C428" s="1" t="s">
        <v>1098</v>
      </c>
      <c r="D428" s="3">
        <v>998</v>
      </c>
      <c r="E428" s="2">
        <v>283</v>
      </c>
      <c r="F428" s="4">
        <v>0.71</v>
      </c>
      <c r="G428">
        <v>4</v>
      </c>
      <c r="H428" s="1" t="s">
        <v>29</v>
      </c>
      <c r="I428" s="1" t="s">
        <v>1173</v>
      </c>
      <c r="J428" s="1" t="s">
        <v>1179</v>
      </c>
      <c r="K428" s="1" t="s">
        <v>1100</v>
      </c>
      <c r="L428" s="1" t="s">
        <v>21</v>
      </c>
      <c r="M428" s="2">
        <f t="shared" si="12"/>
        <v>1281</v>
      </c>
      <c r="N428" s="5">
        <f t="shared" si="13"/>
        <v>0.75</v>
      </c>
    </row>
    <row r="429" spans="1:14" x14ac:dyDescent="0.25">
      <c r="A429" s="1" t="s">
        <v>1149</v>
      </c>
      <c r="B429" s="1" t="s">
        <v>1102</v>
      </c>
      <c r="C429" s="1" t="s">
        <v>1103</v>
      </c>
      <c r="D429" s="3">
        <v>599</v>
      </c>
      <c r="E429" s="2">
        <v>147</v>
      </c>
      <c r="F429" s="4">
        <v>0.75</v>
      </c>
      <c r="G429">
        <v>3.4</v>
      </c>
      <c r="H429" s="1" t="s">
        <v>29</v>
      </c>
      <c r="I429" s="1" t="s">
        <v>1173</v>
      </c>
      <c r="J429" s="1" t="s">
        <v>1177</v>
      </c>
      <c r="K429" s="1" t="s">
        <v>248</v>
      </c>
      <c r="L429" s="1" t="s">
        <v>21</v>
      </c>
      <c r="M429" s="2">
        <f t="shared" si="12"/>
        <v>746</v>
      </c>
      <c r="N429" s="5">
        <f t="shared" si="13"/>
        <v>0.75</v>
      </c>
    </row>
    <row r="430" spans="1:14" x14ac:dyDescent="0.25">
      <c r="A430" s="1" t="s">
        <v>1150</v>
      </c>
      <c r="B430" s="1" t="s">
        <v>78</v>
      </c>
      <c r="C430" s="1" t="s">
        <v>79</v>
      </c>
      <c r="D430" s="3">
        <v>499</v>
      </c>
      <c r="E430" s="2">
        <v>426</v>
      </c>
      <c r="F430" s="4">
        <v>0.14000000000000001</v>
      </c>
      <c r="G430">
        <v>4.2</v>
      </c>
      <c r="H430" s="1" t="s">
        <v>29</v>
      </c>
      <c r="I430" s="1" t="s">
        <v>1169</v>
      </c>
      <c r="J430" s="1" t="s">
        <v>1178</v>
      </c>
      <c r="K430" s="1" t="s">
        <v>41</v>
      </c>
      <c r="L430" s="1" t="s">
        <v>21</v>
      </c>
      <c r="M430" s="2">
        <f t="shared" si="12"/>
        <v>925</v>
      </c>
      <c r="N430" s="5">
        <f t="shared" si="13"/>
        <v>0.72</v>
      </c>
    </row>
    <row r="431" spans="1:14" x14ac:dyDescent="0.25">
      <c r="A431" s="1" t="s">
        <v>1151</v>
      </c>
      <c r="B431" s="1" t="s">
        <v>78</v>
      </c>
      <c r="C431" s="1" t="s">
        <v>79</v>
      </c>
      <c r="D431" s="3">
        <v>499</v>
      </c>
      <c r="E431" s="2">
        <v>335</v>
      </c>
      <c r="F431" s="4">
        <v>0.32</v>
      </c>
      <c r="G431">
        <v>4</v>
      </c>
      <c r="H431" s="1" t="s">
        <v>29</v>
      </c>
      <c r="I431" s="1" t="s">
        <v>1169</v>
      </c>
      <c r="J431" s="1" t="s">
        <v>1178</v>
      </c>
      <c r="K431" s="1" t="s">
        <v>41</v>
      </c>
      <c r="L431" s="1" t="s">
        <v>21</v>
      </c>
      <c r="M431" s="2">
        <f t="shared" si="12"/>
        <v>834</v>
      </c>
      <c r="N431" s="5">
        <f t="shared" si="13"/>
        <v>0.72</v>
      </c>
    </row>
    <row r="432" spans="1:14" x14ac:dyDescent="0.25">
      <c r="A432" s="1" t="s">
        <v>1152</v>
      </c>
      <c r="B432" s="1" t="s">
        <v>1033</v>
      </c>
      <c r="C432" s="1" t="s">
        <v>1034</v>
      </c>
      <c r="D432" s="3">
        <v>400</v>
      </c>
      <c r="E432" s="2">
        <v>179</v>
      </c>
      <c r="F432" s="4">
        <v>0.55000000000000004</v>
      </c>
      <c r="G432">
        <v>3.4</v>
      </c>
      <c r="H432" s="1" t="s">
        <v>17</v>
      </c>
      <c r="I432" s="1" t="s">
        <v>1174</v>
      </c>
      <c r="J432" s="1" t="s">
        <v>1178</v>
      </c>
      <c r="K432" s="1" t="s">
        <v>55</v>
      </c>
      <c r="L432" s="1" t="s">
        <v>21</v>
      </c>
      <c r="M432" s="2">
        <f t="shared" si="12"/>
        <v>579</v>
      </c>
      <c r="N432" s="5">
        <f t="shared" si="13"/>
        <v>0.72</v>
      </c>
    </row>
    <row r="433" spans="1:14" x14ac:dyDescent="0.25">
      <c r="A433" s="1" t="s">
        <v>1153</v>
      </c>
      <c r="B433" s="1" t="s">
        <v>266</v>
      </c>
      <c r="C433" s="1" t="s">
        <v>267</v>
      </c>
      <c r="D433" s="3">
        <v>499</v>
      </c>
      <c r="E433" s="2">
        <v>144</v>
      </c>
      <c r="F433" s="4">
        <v>0.71</v>
      </c>
      <c r="G433">
        <v>2.6</v>
      </c>
      <c r="H433" s="1" t="s">
        <v>17</v>
      </c>
      <c r="I433" s="1" t="s">
        <v>1168</v>
      </c>
      <c r="J433" s="1" t="s">
        <v>1177</v>
      </c>
      <c r="K433" s="1" t="s">
        <v>88</v>
      </c>
      <c r="L433" s="1" t="s">
        <v>21</v>
      </c>
      <c r="M433" s="2">
        <f t="shared" si="12"/>
        <v>643</v>
      </c>
      <c r="N433" s="5">
        <f t="shared" si="13"/>
        <v>0.72</v>
      </c>
    </row>
    <row r="434" spans="1:14" x14ac:dyDescent="0.25">
      <c r="A434" s="1" t="s">
        <v>1154</v>
      </c>
      <c r="B434" s="1" t="s">
        <v>767</v>
      </c>
      <c r="C434" s="1" t="s">
        <v>768</v>
      </c>
      <c r="D434" s="3">
        <v>999</v>
      </c>
      <c r="E434" s="2">
        <v>283</v>
      </c>
      <c r="F434" s="4">
        <v>0.71</v>
      </c>
      <c r="G434">
        <v>4</v>
      </c>
      <c r="H434" s="1" t="s">
        <v>29</v>
      </c>
      <c r="I434" s="1" t="s">
        <v>1174</v>
      </c>
      <c r="J434" s="1" t="s">
        <v>1179</v>
      </c>
      <c r="K434" s="1" t="s">
        <v>770</v>
      </c>
      <c r="L434" s="1" t="s">
        <v>21</v>
      </c>
      <c r="M434" s="2">
        <f t="shared" si="12"/>
        <v>1282</v>
      </c>
      <c r="N434" s="5">
        <f t="shared" si="13"/>
        <v>0.72</v>
      </c>
    </row>
    <row r="435" spans="1:14" x14ac:dyDescent="0.25">
      <c r="A435" s="1" t="s">
        <v>1155</v>
      </c>
      <c r="B435" s="1" t="s">
        <v>1111</v>
      </c>
      <c r="C435" s="1" t="s">
        <v>1112</v>
      </c>
      <c r="D435" s="3">
        <v>499</v>
      </c>
      <c r="E435" s="2">
        <v>139</v>
      </c>
      <c r="F435" s="4">
        <v>0.72</v>
      </c>
      <c r="G435">
        <v>3.8</v>
      </c>
      <c r="H435" s="1" t="s">
        <v>29</v>
      </c>
      <c r="I435" s="1" t="s">
        <v>1174</v>
      </c>
      <c r="J435" s="1" t="s">
        <v>1179</v>
      </c>
      <c r="K435" s="1" t="s">
        <v>20</v>
      </c>
      <c r="L435" s="1" t="s">
        <v>21</v>
      </c>
      <c r="M435" s="2">
        <f t="shared" si="12"/>
        <v>638</v>
      </c>
      <c r="N435" s="5">
        <f t="shared" si="13"/>
        <v>0.72</v>
      </c>
    </row>
    <row r="436" spans="1:14" x14ac:dyDescent="0.25">
      <c r="A436" s="1" t="s">
        <v>1156</v>
      </c>
      <c r="B436" s="1" t="s">
        <v>33</v>
      </c>
      <c r="C436" s="1" t="s">
        <v>34</v>
      </c>
      <c r="D436" s="3">
        <v>445</v>
      </c>
      <c r="E436" s="2">
        <v>335</v>
      </c>
      <c r="F436" s="4">
        <v>0.24</v>
      </c>
      <c r="G436">
        <v>4.4000000000000004</v>
      </c>
      <c r="H436" s="1" t="s">
        <v>29</v>
      </c>
      <c r="I436" s="1" t="s">
        <v>1167</v>
      </c>
      <c r="J436" s="1" t="s">
        <v>1178</v>
      </c>
      <c r="K436" s="1" t="s">
        <v>41</v>
      </c>
      <c r="L436" s="1" t="s">
        <v>21</v>
      </c>
      <c r="M436" s="2">
        <f t="shared" si="12"/>
        <v>780</v>
      </c>
      <c r="N436" s="5">
        <f t="shared" si="13"/>
        <v>0.72</v>
      </c>
    </row>
    <row r="437" spans="1:14" x14ac:dyDescent="0.25">
      <c r="A437" s="1" t="s">
        <v>1157</v>
      </c>
      <c r="B437" s="1" t="s">
        <v>488</v>
      </c>
      <c r="C437" s="1" t="s">
        <v>489</v>
      </c>
      <c r="D437" s="3">
        <v>499</v>
      </c>
      <c r="E437" s="2">
        <v>135</v>
      </c>
      <c r="F437" s="4">
        <v>0.72</v>
      </c>
      <c r="G437">
        <v>3.4</v>
      </c>
      <c r="H437" s="1" t="s">
        <v>17</v>
      </c>
      <c r="I437" s="1" t="s">
        <v>1173</v>
      </c>
      <c r="J437" s="1" t="s">
        <v>1177</v>
      </c>
      <c r="K437" s="1" t="s">
        <v>525</v>
      </c>
      <c r="L437" s="1" t="s">
        <v>21</v>
      </c>
      <c r="M437" s="2">
        <f t="shared" si="12"/>
        <v>634</v>
      </c>
      <c r="N437" s="5">
        <f t="shared" si="13"/>
        <v>0.72</v>
      </c>
    </row>
    <row r="438" spans="1:14" x14ac:dyDescent="0.25">
      <c r="A438" s="1" t="s">
        <v>1158</v>
      </c>
      <c r="B438" s="1" t="s">
        <v>1012</v>
      </c>
      <c r="C438" s="1" t="s">
        <v>1013</v>
      </c>
      <c r="D438" s="3">
        <v>349</v>
      </c>
      <c r="E438" s="2">
        <v>142</v>
      </c>
      <c r="F438" s="4">
        <v>0.59</v>
      </c>
      <c r="G438">
        <v>3.5</v>
      </c>
      <c r="H438" s="1" t="s">
        <v>29</v>
      </c>
      <c r="I438" s="1" t="s">
        <v>1173</v>
      </c>
      <c r="J438" s="1" t="s">
        <v>1180</v>
      </c>
      <c r="K438" s="1" t="s">
        <v>169</v>
      </c>
      <c r="L438" s="1" t="s">
        <v>21</v>
      </c>
      <c r="M438" s="2">
        <f t="shared" si="12"/>
        <v>491</v>
      </c>
      <c r="N438" s="5">
        <f t="shared" si="13"/>
        <v>0.66</v>
      </c>
    </row>
    <row r="439" spans="1:14" x14ac:dyDescent="0.25">
      <c r="A439" s="1" t="s">
        <v>1159</v>
      </c>
      <c r="B439" s="1" t="s">
        <v>1117</v>
      </c>
      <c r="C439" s="1" t="s">
        <v>1118</v>
      </c>
      <c r="D439" s="3">
        <v>499</v>
      </c>
      <c r="E439" s="2">
        <v>167</v>
      </c>
      <c r="F439" s="4">
        <v>0.66</v>
      </c>
      <c r="G439">
        <v>3.5</v>
      </c>
      <c r="H439" s="1" t="s">
        <v>29</v>
      </c>
      <c r="I439" s="1" t="s">
        <v>1171</v>
      </c>
      <c r="J439" s="1" t="s">
        <v>1179</v>
      </c>
      <c r="K439" s="1" t="s">
        <v>1119</v>
      </c>
      <c r="L439" s="1" t="s">
        <v>21</v>
      </c>
      <c r="M439" s="2">
        <f t="shared" si="12"/>
        <v>666</v>
      </c>
      <c r="N439" s="5">
        <f t="shared" si="13"/>
        <v>0.66</v>
      </c>
    </row>
    <row r="440" spans="1:14" x14ac:dyDescent="0.25">
      <c r="A440" s="1" t="s">
        <v>1160</v>
      </c>
      <c r="B440" s="1" t="s">
        <v>78</v>
      </c>
      <c r="C440" s="1" t="s">
        <v>79</v>
      </c>
      <c r="D440" s="3">
        <v>495</v>
      </c>
      <c r="E440" s="2">
        <v>331</v>
      </c>
      <c r="F440" s="4">
        <v>0.33</v>
      </c>
      <c r="G440">
        <v>4.0999999999999996</v>
      </c>
      <c r="H440" s="1" t="s">
        <v>29</v>
      </c>
      <c r="I440" s="1" t="s">
        <v>1169</v>
      </c>
      <c r="J440" s="1" t="s">
        <v>1178</v>
      </c>
      <c r="K440" s="1" t="s">
        <v>41</v>
      </c>
      <c r="L440" s="1" t="s">
        <v>21</v>
      </c>
      <c r="M440" s="2">
        <f t="shared" si="12"/>
        <v>826</v>
      </c>
      <c r="N440" s="5">
        <f t="shared" si="13"/>
        <v>0.33</v>
      </c>
    </row>
    <row r="441" spans="1:14" x14ac:dyDescent="0.25">
      <c r="A441" s="1" t="s">
        <v>1161</v>
      </c>
      <c r="B441" s="1" t="s">
        <v>78</v>
      </c>
      <c r="C441" s="1" t="s">
        <v>214</v>
      </c>
      <c r="D441" s="3">
        <v>349</v>
      </c>
      <c r="E441" s="2">
        <v>325</v>
      </c>
      <c r="F441" s="4">
        <v>0.06</v>
      </c>
      <c r="G441">
        <v>4</v>
      </c>
      <c r="H441" s="1" t="s">
        <v>29</v>
      </c>
      <c r="I441" s="1" t="s">
        <v>1169</v>
      </c>
      <c r="J441" s="1" t="s">
        <v>1178</v>
      </c>
      <c r="K441" s="1" t="s">
        <v>41</v>
      </c>
      <c r="L441" s="1" t="s">
        <v>21</v>
      </c>
      <c r="M441" s="2">
        <f t="shared" si="12"/>
        <v>674</v>
      </c>
      <c r="N441" s="5">
        <f t="shared" si="13"/>
        <v>0.06</v>
      </c>
    </row>
    <row r="442" spans="1:14" x14ac:dyDescent="0.25">
      <c r="C442" s="1"/>
      <c r="D442" s="1"/>
      <c r="E442" s="1"/>
      <c r="F442" s="1"/>
      <c r="G442" s="1"/>
      <c r="H442" s="1"/>
      <c r="I442" s="1"/>
      <c r="J442" s="1"/>
      <c r="K442" s="1"/>
      <c r="L442" s="1"/>
      <c r="M442" s="1"/>
      <c r="N442" s="1"/>
    </row>
    <row r="443" spans="1:14" x14ac:dyDescent="0.25">
      <c r="C443" s="1"/>
      <c r="D443" s="1"/>
      <c r="E443" s="1"/>
      <c r="F443" s="1"/>
      <c r="G443" s="1"/>
      <c r="H443" s="1"/>
      <c r="I443" s="1"/>
      <c r="J443" s="1"/>
      <c r="K443" s="1"/>
      <c r="L443" s="1"/>
      <c r="M443" s="1"/>
      <c r="N443" s="1"/>
    </row>
    <row r="444" spans="1:14" x14ac:dyDescent="0.25">
      <c r="C444" s="1"/>
      <c r="D444" s="1"/>
      <c r="E444" s="1"/>
      <c r="F444" s="1"/>
      <c r="G444" s="1"/>
      <c r="H444" s="1"/>
      <c r="I444" s="1"/>
      <c r="J444" s="1"/>
      <c r="K444" s="1"/>
      <c r="L444" s="1"/>
      <c r="M444" s="1"/>
      <c r="N444" s="1"/>
    </row>
    <row r="445" spans="1:14" x14ac:dyDescent="0.25">
      <c r="C445" s="1"/>
      <c r="D445" s="1"/>
      <c r="E445" s="1"/>
      <c r="F445" s="1"/>
      <c r="G445" s="1"/>
      <c r="H445" s="1"/>
      <c r="I445" s="1"/>
      <c r="J445" s="1"/>
      <c r="K445" s="1"/>
      <c r="L445" s="1"/>
      <c r="M445" s="1"/>
      <c r="N445" s="1"/>
    </row>
    <row r="446" spans="1:14" x14ac:dyDescent="0.25">
      <c r="C446" s="1"/>
      <c r="D446" s="1"/>
      <c r="E446" s="1"/>
      <c r="F446" s="1"/>
      <c r="G446" s="1"/>
      <c r="H446" s="1"/>
      <c r="I446" s="1"/>
      <c r="J446" s="1"/>
      <c r="K446" s="1"/>
      <c r="L446" s="1"/>
      <c r="M446" s="1"/>
      <c r="N446" s="1"/>
    </row>
    <row r="447" spans="1:14" x14ac:dyDescent="0.25">
      <c r="C447" s="1"/>
      <c r="D447" s="1"/>
      <c r="E447" s="1"/>
      <c r="F447" s="1"/>
      <c r="G447" s="1"/>
      <c r="H447" s="1"/>
      <c r="I447" s="1"/>
      <c r="J447" s="1"/>
      <c r="K447" s="1"/>
      <c r="L447" s="1"/>
      <c r="M447" s="1"/>
      <c r="N447" s="1"/>
    </row>
    <row r="448" spans="1:14" x14ac:dyDescent="0.25">
      <c r="C448" s="1"/>
      <c r="D448" s="1"/>
      <c r="E448" s="1"/>
      <c r="F448" s="1"/>
      <c r="G448" s="1"/>
      <c r="H448" s="1"/>
      <c r="I448" s="1"/>
      <c r="J448" s="1"/>
      <c r="K448" s="1"/>
      <c r="L448" s="1"/>
      <c r="M448" s="1"/>
      <c r="N448" s="1"/>
    </row>
    <row r="449" spans="3:14" x14ac:dyDescent="0.25">
      <c r="C449" s="1"/>
      <c r="D449" s="1"/>
      <c r="E449" s="1"/>
      <c r="F449" s="1"/>
      <c r="G449" s="1"/>
      <c r="H449" s="1"/>
      <c r="I449" s="1"/>
      <c r="J449" s="1"/>
      <c r="K449" s="1"/>
      <c r="L449" s="1"/>
      <c r="M449" s="1"/>
      <c r="N449" s="1"/>
    </row>
    <row r="450" spans="3:14" x14ac:dyDescent="0.25">
      <c r="C450" s="1"/>
      <c r="D450" s="1"/>
      <c r="E450" s="1"/>
      <c r="F450" s="1"/>
      <c r="G450" s="1"/>
      <c r="H450" s="1"/>
      <c r="I450" s="1"/>
      <c r="J450" s="1"/>
      <c r="K450" s="1"/>
      <c r="L450" s="1"/>
      <c r="M450" s="1"/>
      <c r="N450" s="1"/>
    </row>
  </sheetData>
  <autoFilter ref="A1:O441" xr:uid="{655A8B54-BDEE-46B3-96DD-68B08682B54E}"/>
  <dataConsolid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3F6FA-F5F8-4BA0-9210-105EA9212D1B}">
  <dimension ref="A1:J450"/>
  <sheetViews>
    <sheetView workbookViewId="0">
      <selection activeCell="L3" sqref="L3"/>
    </sheetView>
  </sheetViews>
  <sheetFormatPr defaultRowHeight="15.75" x14ac:dyDescent="0.25"/>
  <cols>
    <col min="9" max="9" width="21.25" bestFit="1" customWidth="1"/>
    <col min="10" max="10" width="11.875" bestFit="1" customWidth="1"/>
  </cols>
  <sheetData>
    <row r="1" spans="1:10" x14ac:dyDescent="0.25">
      <c r="A1" s="1" t="s">
        <v>1</v>
      </c>
    </row>
    <row r="2" spans="1:10" ht="16.5" thickBot="1" x14ac:dyDescent="0.3">
      <c r="A2" s="3">
        <v>399</v>
      </c>
    </row>
    <row r="3" spans="1:10" x14ac:dyDescent="0.25">
      <c r="A3" s="3">
        <v>299</v>
      </c>
      <c r="I3" s="15" t="s">
        <v>1</v>
      </c>
      <c r="J3" s="13"/>
    </row>
    <row r="4" spans="1:10" x14ac:dyDescent="0.25">
      <c r="A4" s="3">
        <v>449</v>
      </c>
      <c r="I4" s="11"/>
      <c r="J4" s="11"/>
    </row>
    <row r="5" spans="1:10" x14ac:dyDescent="0.25">
      <c r="A5" s="3">
        <v>449</v>
      </c>
      <c r="I5" s="11" t="s">
        <v>1192</v>
      </c>
      <c r="J5" s="11">
        <v>520.65</v>
      </c>
    </row>
    <row r="6" spans="1:10" x14ac:dyDescent="0.25">
      <c r="A6" s="3">
        <v>499</v>
      </c>
      <c r="I6" s="11" t="s">
        <v>1193</v>
      </c>
      <c r="J6" s="11">
        <v>11.323675504949605</v>
      </c>
    </row>
    <row r="7" spans="1:10" x14ac:dyDescent="0.25">
      <c r="A7" s="3">
        <v>499</v>
      </c>
      <c r="I7" s="11" t="s">
        <v>1194</v>
      </c>
      <c r="J7" s="11">
        <v>495</v>
      </c>
    </row>
    <row r="8" spans="1:10" x14ac:dyDescent="0.25">
      <c r="A8" s="3">
        <v>1500</v>
      </c>
      <c r="I8" s="11" t="s">
        <v>1195</v>
      </c>
      <c r="J8" s="11">
        <v>499</v>
      </c>
    </row>
    <row r="9" spans="1:10" x14ac:dyDescent="0.25">
      <c r="A9" s="3">
        <v>299</v>
      </c>
      <c r="I9" s="11" t="s">
        <v>1196</v>
      </c>
      <c r="J9" s="11">
        <v>237.52742126797509</v>
      </c>
    </row>
    <row r="10" spans="1:10" x14ac:dyDescent="0.25">
      <c r="A10" s="3">
        <v>449</v>
      </c>
      <c r="I10" s="11" t="s">
        <v>1197</v>
      </c>
      <c r="J10" s="11">
        <v>56419.275854214109</v>
      </c>
    </row>
    <row r="11" spans="1:10" x14ac:dyDescent="0.25">
      <c r="A11" s="3">
        <v>499</v>
      </c>
      <c r="I11" s="11" t="s">
        <v>1198</v>
      </c>
      <c r="J11" s="11">
        <v>8.0183535307309093</v>
      </c>
    </row>
    <row r="12" spans="1:10" x14ac:dyDescent="0.25">
      <c r="A12" s="3">
        <v>399</v>
      </c>
      <c r="I12" s="11" t="s">
        <v>1199</v>
      </c>
      <c r="J12" s="11">
        <v>2.4856032952669445</v>
      </c>
    </row>
    <row r="13" spans="1:10" x14ac:dyDescent="0.25">
      <c r="A13" s="3">
        <v>1500</v>
      </c>
      <c r="I13" s="11" t="s">
        <v>1200</v>
      </c>
      <c r="J13" s="11">
        <v>1800</v>
      </c>
    </row>
    <row r="14" spans="1:10" x14ac:dyDescent="0.25">
      <c r="A14" s="3">
        <v>749</v>
      </c>
      <c r="I14" s="11" t="s">
        <v>1201</v>
      </c>
      <c r="J14" s="11">
        <v>199</v>
      </c>
    </row>
    <row r="15" spans="1:10" x14ac:dyDescent="0.25">
      <c r="A15" s="3">
        <v>549</v>
      </c>
      <c r="I15" s="11" t="s">
        <v>1202</v>
      </c>
      <c r="J15" s="11">
        <v>1999</v>
      </c>
    </row>
    <row r="16" spans="1:10" x14ac:dyDescent="0.25">
      <c r="A16" s="3">
        <v>1300</v>
      </c>
      <c r="I16" s="11" t="s">
        <v>1203</v>
      </c>
      <c r="J16" s="11">
        <v>229086</v>
      </c>
    </row>
    <row r="17" spans="1:10" x14ac:dyDescent="0.25">
      <c r="A17" s="3">
        <v>399</v>
      </c>
      <c r="I17" s="11" t="s">
        <v>1204</v>
      </c>
      <c r="J17" s="11">
        <v>440</v>
      </c>
    </row>
    <row r="18" spans="1:10" ht="16.5" thickBot="1" x14ac:dyDescent="0.3">
      <c r="A18" s="3">
        <v>499</v>
      </c>
      <c r="I18" s="12" t="s">
        <v>1205</v>
      </c>
      <c r="J18" s="12">
        <v>22.255353301822161</v>
      </c>
    </row>
    <row r="19" spans="1:10" x14ac:dyDescent="0.25">
      <c r="A19" s="3">
        <v>565</v>
      </c>
    </row>
    <row r="20" spans="1:10" x14ac:dyDescent="0.25">
      <c r="A20" s="3">
        <v>449</v>
      </c>
    </row>
    <row r="21" spans="1:10" x14ac:dyDescent="0.25">
      <c r="A21" s="3">
        <v>449</v>
      </c>
    </row>
    <row r="22" spans="1:10" x14ac:dyDescent="0.25">
      <c r="A22" s="3">
        <v>367</v>
      </c>
    </row>
    <row r="23" spans="1:10" x14ac:dyDescent="0.25">
      <c r="A23" s="3">
        <v>399</v>
      </c>
    </row>
    <row r="24" spans="1:10" x14ac:dyDescent="0.25">
      <c r="A24" s="3">
        <v>499</v>
      </c>
    </row>
    <row r="25" spans="1:10" x14ac:dyDescent="0.25">
      <c r="A25" s="3">
        <v>449</v>
      </c>
    </row>
    <row r="26" spans="1:10" x14ac:dyDescent="0.25">
      <c r="A26" s="3">
        <v>316</v>
      </c>
    </row>
    <row r="27" spans="1:10" x14ac:dyDescent="0.25">
      <c r="A27" s="3">
        <v>599</v>
      </c>
    </row>
    <row r="28" spans="1:10" x14ac:dyDescent="0.25">
      <c r="A28" s="3">
        <v>1300</v>
      </c>
    </row>
    <row r="29" spans="1:10" x14ac:dyDescent="0.25">
      <c r="A29" s="3">
        <v>449</v>
      </c>
    </row>
    <row r="30" spans="1:10" x14ac:dyDescent="0.25">
      <c r="A30" s="3">
        <v>449</v>
      </c>
    </row>
    <row r="31" spans="1:10" x14ac:dyDescent="0.25">
      <c r="A31" s="3">
        <v>499</v>
      </c>
    </row>
    <row r="32" spans="1:10" x14ac:dyDescent="0.25">
      <c r="A32" s="3">
        <v>495</v>
      </c>
    </row>
    <row r="33" spans="1:1" x14ac:dyDescent="0.25">
      <c r="A33" s="3">
        <v>1500</v>
      </c>
    </row>
    <row r="34" spans="1:1" x14ac:dyDescent="0.25">
      <c r="A34" s="3">
        <v>499</v>
      </c>
    </row>
    <row r="35" spans="1:1" x14ac:dyDescent="0.25">
      <c r="A35" s="3">
        <v>445</v>
      </c>
    </row>
    <row r="36" spans="1:1" x14ac:dyDescent="0.25">
      <c r="A36" s="3">
        <v>1300</v>
      </c>
    </row>
    <row r="37" spans="1:1" x14ac:dyDescent="0.25">
      <c r="A37" s="3">
        <v>399</v>
      </c>
    </row>
    <row r="38" spans="1:1" x14ac:dyDescent="0.25">
      <c r="A38" s="3">
        <v>399</v>
      </c>
    </row>
    <row r="39" spans="1:1" x14ac:dyDescent="0.25">
      <c r="A39" s="3">
        <v>369</v>
      </c>
    </row>
    <row r="40" spans="1:1" x14ac:dyDescent="0.25">
      <c r="A40" s="3">
        <v>495</v>
      </c>
    </row>
    <row r="41" spans="1:1" x14ac:dyDescent="0.25">
      <c r="A41" s="3">
        <v>349</v>
      </c>
    </row>
    <row r="42" spans="1:1" x14ac:dyDescent="0.25">
      <c r="A42" s="3">
        <v>499</v>
      </c>
    </row>
    <row r="43" spans="1:1" x14ac:dyDescent="0.25">
      <c r="A43" s="3">
        <v>1999</v>
      </c>
    </row>
    <row r="44" spans="1:1" x14ac:dyDescent="0.25">
      <c r="A44" s="3">
        <v>449</v>
      </c>
    </row>
    <row r="45" spans="1:1" x14ac:dyDescent="0.25">
      <c r="A45" s="3">
        <v>449</v>
      </c>
    </row>
    <row r="46" spans="1:1" x14ac:dyDescent="0.25">
      <c r="A46" s="3">
        <v>351</v>
      </c>
    </row>
    <row r="47" spans="1:1" x14ac:dyDescent="0.25">
      <c r="A47" s="3">
        <v>499</v>
      </c>
    </row>
    <row r="48" spans="1:1" x14ac:dyDescent="0.25">
      <c r="A48" s="3">
        <v>799</v>
      </c>
    </row>
    <row r="49" spans="1:1" x14ac:dyDescent="0.25">
      <c r="A49" s="3">
        <v>299</v>
      </c>
    </row>
    <row r="50" spans="1:1" x14ac:dyDescent="0.25">
      <c r="A50" s="3">
        <v>449</v>
      </c>
    </row>
    <row r="51" spans="1:1" x14ac:dyDescent="0.25">
      <c r="A51" s="3">
        <v>499</v>
      </c>
    </row>
    <row r="52" spans="1:1" x14ac:dyDescent="0.25">
      <c r="A52" s="3">
        <v>1482</v>
      </c>
    </row>
    <row r="53" spans="1:1" x14ac:dyDescent="0.25">
      <c r="A53" s="3">
        <v>499</v>
      </c>
    </row>
    <row r="54" spans="1:1" x14ac:dyDescent="0.25">
      <c r="A54" s="3">
        <v>749</v>
      </c>
    </row>
    <row r="55" spans="1:1" x14ac:dyDescent="0.25">
      <c r="A55" s="3">
        <v>549</v>
      </c>
    </row>
    <row r="56" spans="1:1" x14ac:dyDescent="0.25">
      <c r="A56" s="3">
        <v>398</v>
      </c>
    </row>
    <row r="57" spans="1:1" x14ac:dyDescent="0.25">
      <c r="A57" s="3">
        <v>499</v>
      </c>
    </row>
    <row r="58" spans="1:1" x14ac:dyDescent="0.25">
      <c r="A58" s="3">
        <v>299</v>
      </c>
    </row>
    <row r="59" spans="1:1" x14ac:dyDescent="0.25">
      <c r="A59" s="3">
        <v>399</v>
      </c>
    </row>
    <row r="60" spans="1:1" x14ac:dyDescent="0.25">
      <c r="A60" s="3">
        <v>449</v>
      </c>
    </row>
    <row r="61" spans="1:1" x14ac:dyDescent="0.25">
      <c r="A61" s="3">
        <v>449</v>
      </c>
    </row>
    <row r="62" spans="1:1" x14ac:dyDescent="0.25">
      <c r="A62" s="3">
        <v>367</v>
      </c>
    </row>
    <row r="63" spans="1:1" x14ac:dyDescent="0.25">
      <c r="A63" s="3">
        <v>1250</v>
      </c>
    </row>
    <row r="64" spans="1:1" x14ac:dyDescent="0.25">
      <c r="A64" s="3">
        <v>499</v>
      </c>
    </row>
    <row r="65" spans="1:1" x14ac:dyDescent="0.25">
      <c r="A65" s="3">
        <v>449</v>
      </c>
    </row>
    <row r="66" spans="1:1" x14ac:dyDescent="0.25">
      <c r="A66" s="3">
        <v>299</v>
      </c>
    </row>
    <row r="67" spans="1:1" x14ac:dyDescent="0.25">
      <c r="A67" s="3">
        <v>370</v>
      </c>
    </row>
    <row r="68" spans="1:1" x14ac:dyDescent="0.25">
      <c r="A68" s="3">
        <v>399</v>
      </c>
    </row>
    <row r="69" spans="1:1" x14ac:dyDescent="0.25">
      <c r="A69" s="3">
        <v>199</v>
      </c>
    </row>
    <row r="70" spans="1:1" x14ac:dyDescent="0.25">
      <c r="A70" s="3">
        <v>449</v>
      </c>
    </row>
    <row r="71" spans="1:1" x14ac:dyDescent="0.25">
      <c r="A71" s="3">
        <v>499</v>
      </c>
    </row>
    <row r="72" spans="1:1" x14ac:dyDescent="0.25">
      <c r="A72" s="3">
        <v>499</v>
      </c>
    </row>
    <row r="73" spans="1:1" x14ac:dyDescent="0.25">
      <c r="A73" s="3">
        <v>399</v>
      </c>
    </row>
    <row r="74" spans="1:1" x14ac:dyDescent="0.25">
      <c r="A74" s="3">
        <v>499</v>
      </c>
    </row>
    <row r="75" spans="1:1" x14ac:dyDescent="0.25">
      <c r="A75" s="3">
        <v>445</v>
      </c>
    </row>
    <row r="76" spans="1:1" x14ac:dyDescent="0.25">
      <c r="A76" s="3">
        <v>1493</v>
      </c>
    </row>
    <row r="77" spans="1:1" x14ac:dyDescent="0.25">
      <c r="A77" s="3">
        <v>399</v>
      </c>
    </row>
    <row r="78" spans="1:1" x14ac:dyDescent="0.25">
      <c r="A78" s="3">
        <v>300</v>
      </c>
    </row>
    <row r="79" spans="1:1" x14ac:dyDescent="0.25">
      <c r="A79" s="3">
        <v>299</v>
      </c>
    </row>
    <row r="80" spans="1:1" x14ac:dyDescent="0.25">
      <c r="A80" s="3">
        <v>495</v>
      </c>
    </row>
    <row r="81" spans="1:1" x14ac:dyDescent="0.25">
      <c r="A81" s="3">
        <v>349</v>
      </c>
    </row>
    <row r="82" spans="1:1" x14ac:dyDescent="0.25">
      <c r="A82" s="3">
        <v>399</v>
      </c>
    </row>
    <row r="83" spans="1:1" x14ac:dyDescent="0.25">
      <c r="A83" s="3">
        <v>899</v>
      </c>
    </row>
    <row r="84" spans="1:1" x14ac:dyDescent="0.25">
      <c r="A84" s="3">
        <v>449</v>
      </c>
    </row>
    <row r="85" spans="1:1" x14ac:dyDescent="0.25">
      <c r="A85" s="3">
        <v>449</v>
      </c>
    </row>
    <row r="86" spans="1:1" x14ac:dyDescent="0.25">
      <c r="A86" s="3">
        <v>1033</v>
      </c>
    </row>
    <row r="87" spans="1:1" x14ac:dyDescent="0.25">
      <c r="A87" s="3">
        <v>700</v>
      </c>
    </row>
    <row r="88" spans="1:1" x14ac:dyDescent="0.25">
      <c r="A88" s="3">
        <v>599</v>
      </c>
    </row>
    <row r="89" spans="1:1" x14ac:dyDescent="0.25">
      <c r="A89" s="3">
        <v>399</v>
      </c>
    </row>
    <row r="90" spans="1:1" x14ac:dyDescent="0.25">
      <c r="A90" s="3">
        <v>449</v>
      </c>
    </row>
    <row r="91" spans="1:1" x14ac:dyDescent="0.25">
      <c r="A91" s="3">
        <v>499</v>
      </c>
    </row>
    <row r="92" spans="1:1" x14ac:dyDescent="0.25">
      <c r="A92" s="3">
        <v>599</v>
      </c>
    </row>
    <row r="93" spans="1:1" x14ac:dyDescent="0.25">
      <c r="A93" s="3">
        <v>299</v>
      </c>
    </row>
    <row r="94" spans="1:1" x14ac:dyDescent="0.25">
      <c r="A94" s="3">
        <v>749</v>
      </c>
    </row>
    <row r="95" spans="1:1" x14ac:dyDescent="0.25">
      <c r="A95" s="3">
        <v>549</v>
      </c>
    </row>
    <row r="96" spans="1:1" x14ac:dyDescent="0.25">
      <c r="A96" s="3">
        <v>1489</v>
      </c>
    </row>
    <row r="97" spans="1:1" x14ac:dyDescent="0.25">
      <c r="A97" s="3">
        <v>369</v>
      </c>
    </row>
    <row r="98" spans="1:1" x14ac:dyDescent="0.25">
      <c r="A98" s="3">
        <v>199</v>
      </c>
    </row>
    <row r="99" spans="1:1" x14ac:dyDescent="0.25">
      <c r="A99" s="3">
        <v>499</v>
      </c>
    </row>
    <row r="100" spans="1:1" x14ac:dyDescent="0.25">
      <c r="A100" s="3">
        <v>449</v>
      </c>
    </row>
    <row r="101" spans="1:1" x14ac:dyDescent="0.25">
      <c r="A101" s="3">
        <v>449</v>
      </c>
    </row>
    <row r="102" spans="1:1" x14ac:dyDescent="0.25">
      <c r="A102" s="3">
        <v>399</v>
      </c>
    </row>
    <row r="103" spans="1:1" x14ac:dyDescent="0.25">
      <c r="A103" s="3">
        <v>999</v>
      </c>
    </row>
    <row r="104" spans="1:1" x14ac:dyDescent="0.25">
      <c r="A104" s="3">
        <v>499</v>
      </c>
    </row>
    <row r="105" spans="1:1" x14ac:dyDescent="0.25">
      <c r="A105" s="3">
        <v>449</v>
      </c>
    </row>
    <row r="106" spans="1:1" x14ac:dyDescent="0.25">
      <c r="A106" s="3">
        <v>250</v>
      </c>
    </row>
    <row r="107" spans="1:1" x14ac:dyDescent="0.25">
      <c r="A107" s="3">
        <v>560</v>
      </c>
    </row>
    <row r="108" spans="1:1" x14ac:dyDescent="0.25">
      <c r="A108" s="3">
        <v>499</v>
      </c>
    </row>
    <row r="109" spans="1:1" x14ac:dyDescent="0.25">
      <c r="A109" s="3">
        <v>499</v>
      </c>
    </row>
    <row r="110" spans="1:1" x14ac:dyDescent="0.25">
      <c r="A110" s="3">
        <v>449</v>
      </c>
    </row>
    <row r="111" spans="1:1" x14ac:dyDescent="0.25">
      <c r="A111" s="3">
        <v>499</v>
      </c>
    </row>
    <row r="112" spans="1:1" x14ac:dyDescent="0.25">
      <c r="A112" s="3">
        <v>499</v>
      </c>
    </row>
    <row r="113" spans="1:1" x14ac:dyDescent="0.25">
      <c r="A113" s="3">
        <v>499</v>
      </c>
    </row>
    <row r="114" spans="1:1" x14ac:dyDescent="0.25">
      <c r="A114" s="3">
        <v>499</v>
      </c>
    </row>
    <row r="115" spans="1:1" x14ac:dyDescent="0.25">
      <c r="A115" s="3">
        <v>445</v>
      </c>
    </row>
    <row r="116" spans="1:1" x14ac:dyDescent="0.25">
      <c r="A116" s="3">
        <v>449</v>
      </c>
    </row>
    <row r="117" spans="1:1" x14ac:dyDescent="0.25">
      <c r="A117" s="3">
        <v>999</v>
      </c>
    </row>
    <row r="118" spans="1:1" x14ac:dyDescent="0.25">
      <c r="A118" s="3">
        <v>659</v>
      </c>
    </row>
    <row r="119" spans="1:1" x14ac:dyDescent="0.25">
      <c r="A119" s="3">
        <v>399</v>
      </c>
    </row>
    <row r="120" spans="1:1" x14ac:dyDescent="0.25">
      <c r="A120" s="3">
        <v>495</v>
      </c>
    </row>
    <row r="121" spans="1:1" x14ac:dyDescent="0.25">
      <c r="A121" s="3">
        <v>349</v>
      </c>
    </row>
    <row r="122" spans="1:1" x14ac:dyDescent="0.25">
      <c r="A122" s="3">
        <v>299</v>
      </c>
    </row>
    <row r="123" spans="1:1" x14ac:dyDescent="0.25">
      <c r="A123" s="3">
        <v>499</v>
      </c>
    </row>
    <row r="124" spans="1:1" x14ac:dyDescent="0.25">
      <c r="A124" s="3">
        <v>449</v>
      </c>
    </row>
    <row r="125" spans="1:1" x14ac:dyDescent="0.25">
      <c r="A125" s="3">
        <v>449</v>
      </c>
    </row>
    <row r="126" spans="1:1" x14ac:dyDescent="0.25">
      <c r="A126" s="3">
        <v>599</v>
      </c>
    </row>
    <row r="127" spans="1:1" x14ac:dyDescent="0.25">
      <c r="A127" s="3">
        <v>299</v>
      </c>
    </row>
    <row r="128" spans="1:1" x14ac:dyDescent="0.25">
      <c r="A128" s="3">
        <v>399</v>
      </c>
    </row>
    <row r="129" spans="1:1" x14ac:dyDescent="0.25">
      <c r="A129" s="3">
        <v>799</v>
      </c>
    </row>
    <row r="130" spans="1:1" x14ac:dyDescent="0.25">
      <c r="A130" s="3">
        <v>449</v>
      </c>
    </row>
    <row r="131" spans="1:1" x14ac:dyDescent="0.25">
      <c r="A131" s="3">
        <v>499</v>
      </c>
    </row>
    <row r="132" spans="1:1" x14ac:dyDescent="0.25">
      <c r="A132" s="3">
        <v>1200</v>
      </c>
    </row>
    <row r="133" spans="1:1" x14ac:dyDescent="0.25">
      <c r="A133" s="3">
        <v>499</v>
      </c>
    </row>
    <row r="134" spans="1:1" x14ac:dyDescent="0.25">
      <c r="A134" s="3">
        <v>749</v>
      </c>
    </row>
    <row r="135" spans="1:1" x14ac:dyDescent="0.25">
      <c r="A135" s="3">
        <v>549</v>
      </c>
    </row>
    <row r="136" spans="1:1" x14ac:dyDescent="0.25">
      <c r="A136" s="3">
        <v>299</v>
      </c>
    </row>
    <row r="137" spans="1:1" x14ac:dyDescent="0.25">
      <c r="A137" s="3">
        <v>499</v>
      </c>
    </row>
    <row r="138" spans="1:1" x14ac:dyDescent="0.25">
      <c r="A138" s="3">
        <v>385</v>
      </c>
    </row>
    <row r="139" spans="1:1" x14ac:dyDescent="0.25">
      <c r="A139" s="3">
        <v>599</v>
      </c>
    </row>
    <row r="140" spans="1:1" x14ac:dyDescent="0.25">
      <c r="A140" s="3">
        <v>449</v>
      </c>
    </row>
    <row r="141" spans="1:1" x14ac:dyDescent="0.25">
      <c r="A141" s="3">
        <v>449</v>
      </c>
    </row>
    <row r="142" spans="1:1" x14ac:dyDescent="0.25">
      <c r="A142" s="3">
        <v>499</v>
      </c>
    </row>
    <row r="143" spans="1:1" x14ac:dyDescent="0.25">
      <c r="A143" s="3">
        <v>499</v>
      </c>
    </row>
    <row r="144" spans="1:1" x14ac:dyDescent="0.25">
      <c r="A144" s="3">
        <v>499</v>
      </c>
    </row>
    <row r="145" spans="1:1" x14ac:dyDescent="0.25">
      <c r="A145" s="3">
        <v>449</v>
      </c>
    </row>
    <row r="146" spans="1:1" x14ac:dyDescent="0.25">
      <c r="A146" s="3">
        <v>419</v>
      </c>
    </row>
    <row r="147" spans="1:1" x14ac:dyDescent="0.25">
      <c r="A147" s="3">
        <v>999</v>
      </c>
    </row>
    <row r="148" spans="1:1" x14ac:dyDescent="0.25">
      <c r="A148" s="3">
        <v>500</v>
      </c>
    </row>
    <row r="149" spans="1:1" x14ac:dyDescent="0.25">
      <c r="A149" s="3">
        <v>859</v>
      </c>
    </row>
    <row r="150" spans="1:1" x14ac:dyDescent="0.25">
      <c r="A150" s="3">
        <v>449</v>
      </c>
    </row>
    <row r="151" spans="1:1" x14ac:dyDescent="0.25">
      <c r="A151" s="3">
        <v>499</v>
      </c>
    </row>
    <row r="152" spans="1:1" x14ac:dyDescent="0.25">
      <c r="A152" s="3">
        <v>1420</v>
      </c>
    </row>
    <row r="153" spans="1:1" x14ac:dyDescent="0.25">
      <c r="A153" s="3">
        <v>699</v>
      </c>
    </row>
    <row r="154" spans="1:1" x14ac:dyDescent="0.25">
      <c r="A154" s="3">
        <v>499</v>
      </c>
    </row>
    <row r="155" spans="1:1" x14ac:dyDescent="0.25">
      <c r="A155" s="3">
        <v>445</v>
      </c>
    </row>
    <row r="156" spans="1:1" x14ac:dyDescent="0.25">
      <c r="A156" s="3">
        <v>299</v>
      </c>
    </row>
    <row r="157" spans="1:1" x14ac:dyDescent="0.25">
      <c r="A157" s="3">
        <v>489</v>
      </c>
    </row>
    <row r="158" spans="1:1" x14ac:dyDescent="0.25">
      <c r="A158" s="3">
        <v>399</v>
      </c>
    </row>
    <row r="159" spans="1:1" x14ac:dyDescent="0.25">
      <c r="A159" s="3">
        <v>599</v>
      </c>
    </row>
    <row r="160" spans="1:1" x14ac:dyDescent="0.25">
      <c r="A160" s="3">
        <v>495</v>
      </c>
    </row>
    <row r="161" spans="1:1" x14ac:dyDescent="0.25">
      <c r="A161" s="3">
        <v>349</v>
      </c>
    </row>
    <row r="162" spans="1:1" x14ac:dyDescent="0.25">
      <c r="A162" s="3">
        <v>389</v>
      </c>
    </row>
    <row r="163" spans="1:1" x14ac:dyDescent="0.25">
      <c r="A163" s="3">
        <v>590</v>
      </c>
    </row>
    <row r="164" spans="1:1" x14ac:dyDescent="0.25">
      <c r="A164" s="3">
        <v>449</v>
      </c>
    </row>
    <row r="165" spans="1:1" x14ac:dyDescent="0.25">
      <c r="A165" s="3">
        <v>449</v>
      </c>
    </row>
    <row r="166" spans="1:1" x14ac:dyDescent="0.25">
      <c r="A166" s="3">
        <v>499</v>
      </c>
    </row>
    <row r="167" spans="1:1" x14ac:dyDescent="0.25">
      <c r="A167" s="3">
        <v>499</v>
      </c>
    </row>
    <row r="168" spans="1:1" x14ac:dyDescent="0.25">
      <c r="A168" s="3">
        <v>599</v>
      </c>
    </row>
    <row r="169" spans="1:1" x14ac:dyDescent="0.25">
      <c r="A169" s="3">
        <v>489</v>
      </c>
    </row>
    <row r="170" spans="1:1" x14ac:dyDescent="0.25">
      <c r="A170" s="3">
        <v>449</v>
      </c>
    </row>
    <row r="171" spans="1:1" x14ac:dyDescent="0.25">
      <c r="A171" s="3">
        <v>499</v>
      </c>
    </row>
    <row r="172" spans="1:1" x14ac:dyDescent="0.25">
      <c r="A172" s="3">
        <v>499</v>
      </c>
    </row>
    <row r="173" spans="1:1" x14ac:dyDescent="0.25">
      <c r="A173" s="3">
        <v>256</v>
      </c>
    </row>
    <row r="174" spans="1:1" x14ac:dyDescent="0.25">
      <c r="A174" s="3">
        <v>749</v>
      </c>
    </row>
    <row r="175" spans="1:1" x14ac:dyDescent="0.25">
      <c r="A175" s="3">
        <v>549</v>
      </c>
    </row>
    <row r="176" spans="1:1" x14ac:dyDescent="0.25">
      <c r="A176" s="3">
        <v>600</v>
      </c>
    </row>
    <row r="177" spans="1:1" x14ac:dyDescent="0.25">
      <c r="A177" s="3">
        <v>499</v>
      </c>
    </row>
    <row r="178" spans="1:1" x14ac:dyDescent="0.25">
      <c r="A178" s="3">
        <v>249</v>
      </c>
    </row>
    <row r="179" spans="1:1" x14ac:dyDescent="0.25">
      <c r="A179" s="3">
        <v>599</v>
      </c>
    </row>
    <row r="180" spans="1:1" x14ac:dyDescent="0.25">
      <c r="A180" s="3">
        <v>449</v>
      </c>
    </row>
    <row r="181" spans="1:1" x14ac:dyDescent="0.25">
      <c r="A181" s="3">
        <v>449</v>
      </c>
    </row>
    <row r="182" spans="1:1" x14ac:dyDescent="0.25">
      <c r="A182" s="3">
        <v>499</v>
      </c>
    </row>
    <row r="183" spans="1:1" x14ac:dyDescent="0.25">
      <c r="A183" s="3">
        <v>499</v>
      </c>
    </row>
    <row r="184" spans="1:1" x14ac:dyDescent="0.25">
      <c r="A184" s="3">
        <v>499</v>
      </c>
    </row>
    <row r="185" spans="1:1" x14ac:dyDescent="0.25">
      <c r="A185" s="3">
        <v>449</v>
      </c>
    </row>
    <row r="186" spans="1:1" x14ac:dyDescent="0.25">
      <c r="A186" s="3">
        <v>499</v>
      </c>
    </row>
    <row r="187" spans="1:1" x14ac:dyDescent="0.25">
      <c r="A187" s="3">
        <v>661</v>
      </c>
    </row>
    <row r="188" spans="1:1" x14ac:dyDescent="0.25">
      <c r="A188" s="3">
        <v>788</v>
      </c>
    </row>
    <row r="189" spans="1:1" x14ac:dyDescent="0.25">
      <c r="A189" s="3">
        <v>323</v>
      </c>
    </row>
    <row r="190" spans="1:1" x14ac:dyDescent="0.25">
      <c r="A190" s="3">
        <v>449</v>
      </c>
    </row>
    <row r="191" spans="1:1" x14ac:dyDescent="0.25">
      <c r="A191" s="3">
        <v>499</v>
      </c>
    </row>
    <row r="192" spans="1:1" x14ac:dyDescent="0.25">
      <c r="A192" s="3">
        <v>399</v>
      </c>
    </row>
    <row r="193" spans="1:1" x14ac:dyDescent="0.25">
      <c r="A193" s="3">
        <v>999</v>
      </c>
    </row>
    <row r="194" spans="1:1" x14ac:dyDescent="0.25">
      <c r="A194" s="3">
        <v>499</v>
      </c>
    </row>
    <row r="195" spans="1:1" x14ac:dyDescent="0.25">
      <c r="A195" s="3">
        <v>445</v>
      </c>
    </row>
    <row r="196" spans="1:1" x14ac:dyDescent="0.25">
      <c r="A196" s="3">
        <v>299</v>
      </c>
    </row>
    <row r="197" spans="1:1" x14ac:dyDescent="0.25">
      <c r="A197" s="3">
        <v>299</v>
      </c>
    </row>
    <row r="198" spans="1:1" x14ac:dyDescent="0.25">
      <c r="A198" s="3">
        <v>1500</v>
      </c>
    </row>
    <row r="199" spans="1:1" x14ac:dyDescent="0.25">
      <c r="A199" s="3">
        <v>399</v>
      </c>
    </row>
    <row r="200" spans="1:1" x14ac:dyDescent="0.25">
      <c r="A200" s="3">
        <v>495</v>
      </c>
    </row>
    <row r="201" spans="1:1" x14ac:dyDescent="0.25">
      <c r="A201" s="3">
        <v>349</v>
      </c>
    </row>
    <row r="202" spans="1:1" x14ac:dyDescent="0.25">
      <c r="A202" s="3">
        <v>369</v>
      </c>
    </row>
    <row r="203" spans="1:1" x14ac:dyDescent="0.25">
      <c r="A203" s="3">
        <v>1000</v>
      </c>
    </row>
    <row r="204" spans="1:1" x14ac:dyDescent="0.25">
      <c r="A204" s="3">
        <v>449</v>
      </c>
    </row>
    <row r="205" spans="1:1" x14ac:dyDescent="0.25">
      <c r="A205" s="3">
        <v>449</v>
      </c>
    </row>
    <row r="206" spans="1:1" x14ac:dyDescent="0.25">
      <c r="A206" s="3">
        <v>999</v>
      </c>
    </row>
    <row r="207" spans="1:1" x14ac:dyDescent="0.25">
      <c r="A207" s="3">
        <v>499</v>
      </c>
    </row>
    <row r="208" spans="1:1" x14ac:dyDescent="0.25">
      <c r="A208" s="3">
        <v>370</v>
      </c>
    </row>
    <row r="209" spans="1:1" x14ac:dyDescent="0.25">
      <c r="A209" s="3">
        <v>399</v>
      </c>
    </row>
    <row r="210" spans="1:1" x14ac:dyDescent="0.25">
      <c r="A210" s="3">
        <v>449</v>
      </c>
    </row>
    <row r="211" spans="1:1" x14ac:dyDescent="0.25">
      <c r="A211" s="3">
        <v>499</v>
      </c>
    </row>
    <row r="212" spans="1:1" x14ac:dyDescent="0.25">
      <c r="A212" s="3">
        <v>999</v>
      </c>
    </row>
    <row r="213" spans="1:1" x14ac:dyDescent="0.25">
      <c r="A213" s="3">
        <v>399</v>
      </c>
    </row>
    <row r="214" spans="1:1" x14ac:dyDescent="0.25">
      <c r="A214" s="3">
        <v>749</v>
      </c>
    </row>
    <row r="215" spans="1:1" x14ac:dyDescent="0.25">
      <c r="A215" s="3">
        <v>549</v>
      </c>
    </row>
    <row r="216" spans="1:1" x14ac:dyDescent="0.25">
      <c r="A216" s="3">
        <v>270</v>
      </c>
    </row>
    <row r="217" spans="1:1" x14ac:dyDescent="0.25">
      <c r="A217" s="3">
        <v>499</v>
      </c>
    </row>
    <row r="218" spans="1:1" x14ac:dyDescent="0.25">
      <c r="A218" s="3">
        <v>595</v>
      </c>
    </row>
    <row r="219" spans="1:1" x14ac:dyDescent="0.25">
      <c r="A219" s="3">
        <v>999</v>
      </c>
    </row>
    <row r="220" spans="1:1" x14ac:dyDescent="0.25">
      <c r="A220" s="3">
        <v>449</v>
      </c>
    </row>
    <row r="221" spans="1:1" x14ac:dyDescent="0.25">
      <c r="A221" s="3">
        <v>449</v>
      </c>
    </row>
    <row r="222" spans="1:1" x14ac:dyDescent="0.25">
      <c r="A222" s="3">
        <v>999</v>
      </c>
    </row>
    <row r="223" spans="1:1" x14ac:dyDescent="0.25">
      <c r="A223" s="3">
        <v>599</v>
      </c>
    </row>
    <row r="224" spans="1:1" x14ac:dyDescent="0.25">
      <c r="A224" s="3">
        <v>499</v>
      </c>
    </row>
    <row r="225" spans="1:1" x14ac:dyDescent="0.25">
      <c r="A225" s="3">
        <v>449</v>
      </c>
    </row>
    <row r="226" spans="1:1" x14ac:dyDescent="0.25">
      <c r="A226" s="3">
        <v>499</v>
      </c>
    </row>
    <row r="227" spans="1:1" x14ac:dyDescent="0.25">
      <c r="A227" s="3">
        <v>699</v>
      </c>
    </row>
    <row r="228" spans="1:1" x14ac:dyDescent="0.25">
      <c r="A228" s="3">
        <v>598</v>
      </c>
    </row>
    <row r="229" spans="1:1" x14ac:dyDescent="0.25">
      <c r="A229" s="3">
        <v>759</v>
      </c>
    </row>
    <row r="230" spans="1:1" x14ac:dyDescent="0.25">
      <c r="A230" s="3">
        <v>449</v>
      </c>
    </row>
    <row r="231" spans="1:1" x14ac:dyDescent="0.25">
      <c r="A231" s="3">
        <v>499</v>
      </c>
    </row>
    <row r="232" spans="1:1" x14ac:dyDescent="0.25">
      <c r="A232" s="3">
        <v>490</v>
      </c>
    </row>
    <row r="233" spans="1:1" x14ac:dyDescent="0.25">
      <c r="A233" s="3">
        <v>399</v>
      </c>
    </row>
    <row r="234" spans="1:1" x14ac:dyDescent="0.25">
      <c r="A234" s="3">
        <v>499</v>
      </c>
    </row>
    <row r="235" spans="1:1" x14ac:dyDescent="0.25">
      <c r="A235" s="3">
        <v>445</v>
      </c>
    </row>
    <row r="236" spans="1:1" x14ac:dyDescent="0.25">
      <c r="A236" s="3">
        <v>499</v>
      </c>
    </row>
    <row r="237" spans="1:1" x14ac:dyDescent="0.25">
      <c r="A237" s="3">
        <v>499</v>
      </c>
    </row>
    <row r="238" spans="1:1" x14ac:dyDescent="0.25">
      <c r="A238" s="3">
        <v>499</v>
      </c>
    </row>
    <row r="239" spans="1:1" x14ac:dyDescent="0.25">
      <c r="A239" s="3">
        <v>499</v>
      </c>
    </row>
    <row r="240" spans="1:1" x14ac:dyDescent="0.25">
      <c r="A240" s="3">
        <v>495</v>
      </c>
    </row>
    <row r="241" spans="1:1" x14ac:dyDescent="0.25">
      <c r="A241" s="3">
        <v>349</v>
      </c>
    </row>
    <row r="242" spans="1:1" x14ac:dyDescent="0.25">
      <c r="A242" s="3">
        <v>499</v>
      </c>
    </row>
    <row r="243" spans="1:1" x14ac:dyDescent="0.25">
      <c r="A243" s="3">
        <v>1300</v>
      </c>
    </row>
    <row r="244" spans="1:1" x14ac:dyDescent="0.25">
      <c r="A244" s="3">
        <v>599</v>
      </c>
    </row>
    <row r="245" spans="1:1" x14ac:dyDescent="0.25">
      <c r="A245" s="3">
        <v>449</v>
      </c>
    </row>
    <row r="246" spans="1:1" x14ac:dyDescent="0.25">
      <c r="A246" s="3">
        <v>199</v>
      </c>
    </row>
    <row r="247" spans="1:1" x14ac:dyDescent="0.25">
      <c r="A247" s="3">
        <v>399</v>
      </c>
    </row>
    <row r="248" spans="1:1" x14ac:dyDescent="0.25">
      <c r="A248" s="3">
        <v>300</v>
      </c>
    </row>
    <row r="249" spans="1:1" x14ac:dyDescent="0.25">
      <c r="A249" s="3">
        <v>399</v>
      </c>
    </row>
    <row r="250" spans="1:1" x14ac:dyDescent="0.25">
      <c r="A250" s="3">
        <v>449</v>
      </c>
    </row>
    <row r="251" spans="1:1" x14ac:dyDescent="0.25">
      <c r="A251" s="3">
        <v>499</v>
      </c>
    </row>
    <row r="252" spans="1:1" x14ac:dyDescent="0.25">
      <c r="A252" s="3">
        <v>339</v>
      </c>
    </row>
    <row r="253" spans="1:1" x14ac:dyDescent="0.25">
      <c r="A253" s="3">
        <v>207</v>
      </c>
    </row>
    <row r="254" spans="1:1" x14ac:dyDescent="0.25">
      <c r="A254" s="3">
        <v>749</v>
      </c>
    </row>
    <row r="255" spans="1:1" x14ac:dyDescent="0.25">
      <c r="A255" s="3">
        <v>549</v>
      </c>
    </row>
    <row r="256" spans="1:1" x14ac:dyDescent="0.25">
      <c r="A256" s="3">
        <v>339</v>
      </c>
    </row>
    <row r="257" spans="1:1" x14ac:dyDescent="0.25">
      <c r="A257" s="3">
        <v>249</v>
      </c>
    </row>
    <row r="258" spans="1:1" x14ac:dyDescent="0.25">
      <c r="A258" s="3">
        <v>399</v>
      </c>
    </row>
    <row r="259" spans="1:1" x14ac:dyDescent="0.25">
      <c r="A259" s="3">
        <v>199</v>
      </c>
    </row>
    <row r="260" spans="1:1" x14ac:dyDescent="0.25">
      <c r="A260" s="3">
        <v>449</v>
      </c>
    </row>
    <row r="261" spans="1:1" x14ac:dyDescent="0.25">
      <c r="A261" s="3">
        <v>449</v>
      </c>
    </row>
    <row r="262" spans="1:1" x14ac:dyDescent="0.25">
      <c r="A262" s="3">
        <v>199</v>
      </c>
    </row>
    <row r="263" spans="1:1" x14ac:dyDescent="0.25">
      <c r="A263" s="3">
        <v>199</v>
      </c>
    </row>
    <row r="264" spans="1:1" x14ac:dyDescent="0.25">
      <c r="A264" s="3">
        <v>499</v>
      </c>
    </row>
    <row r="265" spans="1:1" x14ac:dyDescent="0.25">
      <c r="A265" s="3">
        <v>449</v>
      </c>
    </row>
    <row r="266" spans="1:1" x14ac:dyDescent="0.25">
      <c r="A266" s="3">
        <v>399</v>
      </c>
    </row>
    <row r="267" spans="1:1" x14ac:dyDescent="0.25">
      <c r="A267" s="3">
        <v>357</v>
      </c>
    </row>
    <row r="268" spans="1:1" x14ac:dyDescent="0.25">
      <c r="A268" s="3">
        <v>399</v>
      </c>
    </row>
    <row r="269" spans="1:1" x14ac:dyDescent="0.25">
      <c r="A269" s="3">
        <v>999</v>
      </c>
    </row>
    <row r="270" spans="1:1" x14ac:dyDescent="0.25">
      <c r="A270" s="3">
        <v>449</v>
      </c>
    </row>
    <row r="271" spans="1:1" x14ac:dyDescent="0.25">
      <c r="A271" s="3">
        <v>499</v>
      </c>
    </row>
    <row r="272" spans="1:1" x14ac:dyDescent="0.25">
      <c r="A272" s="3">
        <v>399</v>
      </c>
    </row>
    <row r="273" spans="1:1" x14ac:dyDescent="0.25">
      <c r="A273" s="3">
        <v>800</v>
      </c>
    </row>
    <row r="274" spans="1:1" x14ac:dyDescent="0.25">
      <c r="A274" s="3">
        <v>499</v>
      </c>
    </row>
    <row r="275" spans="1:1" x14ac:dyDescent="0.25">
      <c r="A275" s="3">
        <v>445</v>
      </c>
    </row>
    <row r="276" spans="1:1" x14ac:dyDescent="0.25">
      <c r="A276" s="3">
        <v>399</v>
      </c>
    </row>
    <row r="277" spans="1:1" x14ac:dyDescent="0.25">
      <c r="A277" s="3">
        <v>499</v>
      </c>
    </row>
    <row r="278" spans="1:1" x14ac:dyDescent="0.25">
      <c r="A278" s="3">
        <v>599</v>
      </c>
    </row>
    <row r="279" spans="1:1" x14ac:dyDescent="0.25">
      <c r="A279" s="3">
        <v>299</v>
      </c>
    </row>
    <row r="280" spans="1:1" x14ac:dyDescent="0.25">
      <c r="A280" s="3">
        <v>495</v>
      </c>
    </row>
    <row r="281" spans="1:1" x14ac:dyDescent="0.25">
      <c r="A281" s="3">
        <v>349</v>
      </c>
    </row>
    <row r="282" spans="1:1" x14ac:dyDescent="0.25">
      <c r="A282" s="3">
        <v>199</v>
      </c>
    </row>
    <row r="283" spans="1:1" x14ac:dyDescent="0.25">
      <c r="A283" s="3">
        <v>599</v>
      </c>
    </row>
    <row r="284" spans="1:1" x14ac:dyDescent="0.25">
      <c r="A284" s="3">
        <v>491</v>
      </c>
    </row>
    <row r="285" spans="1:1" x14ac:dyDescent="0.25">
      <c r="A285" s="3">
        <v>449</v>
      </c>
    </row>
    <row r="286" spans="1:1" x14ac:dyDescent="0.25">
      <c r="A286" s="3">
        <v>945</v>
      </c>
    </row>
    <row r="287" spans="1:1" x14ac:dyDescent="0.25">
      <c r="A287" s="3">
        <v>499</v>
      </c>
    </row>
    <row r="288" spans="1:1" x14ac:dyDescent="0.25">
      <c r="A288" s="3">
        <v>499</v>
      </c>
    </row>
    <row r="289" spans="1:1" x14ac:dyDescent="0.25">
      <c r="A289" s="3">
        <v>299</v>
      </c>
    </row>
    <row r="290" spans="1:1" x14ac:dyDescent="0.25">
      <c r="A290" s="3">
        <v>449</v>
      </c>
    </row>
    <row r="291" spans="1:1" x14ac:dyDescent="0.25">
      <c r="A291" s="3">
        <v>499</v>
      </c>
    </row>
    <row r="292" spans="1:1" x14ac:dyDescent="0.25">
      <c r="A292" s="3">
        <v>499</v>
      </c>
    </row>
    <row r="293" spans="1:1" x14ac:dyDescent="0.25">
      <c r="A293" s="3">
        <v>399</v>
      </c>
    </row>
    <row r="294" spans="1:1" x14ac:dyDescent="0.25">
      <c r="A294" s="3">
        <v>749</v>
      </c>
    </row>
    <row r="295" spans="1:1" x14ac:dyDescent="0.25">
      <c r="A295" s="3">
        <v>549</v>
      </c>
    </row>
    <row r="296" spans="1:1" x14ac:dyDescent="0.25">
      <c r="A296" s="3">
        <v>499</v>
      </c>
    </row>
    <row r="297" spans="1:1" x14ac:dyDescent="0.25">
      <c r="A297" s="3">
        <v>499</v>
      </c>
    </row>
    <row r="298" spans="1:1" x14ac:dyDescent="0.25">
      <c r="A298" s="3">
        <v>249</v>
      </c>
    </row>
    <row r="299" spans="1:1" x14ac:dyDescent="0.25">
      <c r="A299" s="3">
        <v>299</v>
      </c>
    </row>
    <row r="300" spans="1:1" x14ac:dyDescent="0.25">
      <c r="A300" s="3">
        <v>449</v>
      </c>
    </row>
    <row r="301" spans="1:1" x14ac:dyDescent="0.25">
      <c r="A301" s="3">
        <v>449</v>
      </c>
    </row>
    <row r="302" spans="1:1" x14ac:dyDescent="0.25">
      <c r="A302" s="3">
        <v>399</v>
      </c>
    </row>
    <row r="303" spans="1:1" x14ac:dyDescent="0.25">
      <c r="A303" s="3">
        <v>249</v>
      </c>
    </row>
    <row r="304" spans="1:1" x14ac:dyDescent="0.25">
      <c r="A304" s="3">
        <v>499</v>
      </c>
    </row>
    <row r="305" spans="1:1" x14ac:dyDescent="0.25">
      <c r="A305" s="3">
        <v>449</v>
      </c>
    </row>
    <row r="306" spans="1:1" x14ac:dyDescent="0.25">
      <c r="A306" s="3">
        <v>199</v>
      </c>
    </row>
    <row r="307" spans="1:1" x14ac:dyDescent="0.25">
      <c r="A307" s="3">
        <v>399</v>
      </c>
    </row>
    <row r="308" spans="1:1" x14ac:dyDescent="0.25">
      <c r="A308" s="3">
        <v>499</v>
      </c>
    </row>
    <row r="309" spans="1:1" x14ac:dyDescent="0.25">
      <c r="A309" s="3">
        <v>499</v>
      </c>
    </row>
    <row r="310" spans="1:1" x14ac:dyDescent="0.25">
      <c r="A310" s="3">
        <v>449</v>
      </c>
    </row>
    <row r="311" spans="1:1" x14ac:dyDescent="0.25">
      <c r="A311" s="3">
        <v>499</v>
      </c>
    </row>
    <row r="312" spans="1:1" x14ac:dyDescent="0.25">
      <c r="A312" s="3">
        <v>499</v>
      </c>
    </row>
    <row r="313" spans="1:1" x14ac:dyDescent="0.25">
      <c r="A313" s="3">
        <v>499</v>
      </c>
    </row>
    <row r="314" spans="1:1" x14ac:dyDescent="0.25">
      <c r="A314" s="3">
        <v>499</v>
      </c>
    </row>
    <row r="315" spans="1:1" x14ac:dyDescent="0.25">
      <c r="A315" s="3">
        <v>445</v>
      </c>
    </row>
    <row r="316" spans="1:1" x14ac:dyDescent="0.25">
      <c r="A316" s="3">
        <v>499</v>
      </c>
    </row>
    <row r="317" spans="1:1" x14ac:dyDescent="0.25">
      <c r="A317" s="3">
        <v>499</v>
      </c>
    </row>
    <row r="318" spans="1:1" x14ac:dyDescent="0.25">
      <c r="A318" s="3">
        <v>499</v>
      </c>
    </row>
    <row r="319" spans="1:1" x14ac:dyDescent="0.25">
      <c r="A319" s="3">
        <v>499</v>
      </c>
    </row>
    <row r="320" spans="1:1" x14ac:dyDescent="0.25">
      <c r="A320" s="3">
        <v>495</v>
      </c>
    </row>
    <row r="321" spans="1:1" x14ac:dyDescent="0.25">
      <c r="A321" s="3">
        <v>349</v>
      </c>
    </row>
    <row r="322" spans="1:1" x14ac:dyDescent="0.25">
      <c r="A322" s="3">
        <v>499</v>
      </c>
    </row>
    <row r="323" spans="1:1" x14ac:dyDescent="0.25">
      <c r="A323" s="3">
        <v>499</v>
      </c>
    </row>
    <row r="324" spans="1:1" x14ac:dyDescent="0.25">
      <c r="A324" s="3">
        <v>622</v>
      </c>
    </row>
    <row r="325" spans="1:1" x14ac:dyDescent="0.25">
      <c r="A325" s="3">
        <v>449</v>
      </c>
    </row>
    <row r="326" spans="1:1" x14ac:dyDescent="0.25">
      <c r="A326" s="3">
        <v>379</v>
      </c>
    </row>
    <row r="327" spans="1:1" x14ac:dyDescent="0.25">
      <c r="A327" s="3">
        <v>199</v>
      </c>
    </row>
    <row r="328" spans="1:1" x14ac:dyDescent="0.25">
      <c r="A328" s="3">
        <v>399</v>
      </c>
    </row>
    <row r="329" spans="1:1" x14ac:dyDescent="0.25">
      <c r="A329" s="3">
        <v>199</v>
      </c>
    </row>
    <row r="330" spans="1:1" x14ac:dyDescent="0.25">
      <c r="A330" s="3">
        <v>449</v>
      </c>
    </row>
    <row r="331" spans="1:1" x14ac:dyDescent="0.25">
      <c r="A331" s="3">
        <v>499</v>
      </c>
    </row>
    <row r="332" spans="1:1" x14ac:dyDescent="0.25">
      <c r="A332" s="3">
        <v>299</v>
      </c>
    </row>
    <row r="333" spans="1:1" x14ac:dyDescent="0.25">
      <c r="A333" s="3">
        <v>299</v>
      </c>
    </row>
    <row r="334" spans="1:1" x14ac:dyDescent="0.25">
      <c r="A334" s="3">
        <v>749</v>
      </c>
    </row>
    <row r="335" spans="1:1" x14ac:dyDescent="0.25">
      <c r="A335" s="3">
        <v>549</v>
      </c>
    </row>
    <row r="336" spans="1:1" x14ac:dyDescent="0.25">
      <c r="A336" s="3">
        <v>499</v>
      </c>
    </row>
    <row r="337" spans="1:1" x14ac:dyDescent="0.25">
      <c r="A337" s="3">
        <v>499</v>
      </c>
    </row>
    <row r="338" spans="1:1" x14ac:dyDescent="0.25">
      <c r="A338" s="3">
        <v>199</v>
      </c>
    </row>
    <row r="339" spans="1:1" x14ac:dyDescent="0.25">
      <c r="A339" s="3">
        <v>499</v>
      </c>
    </row>
    <row r="340" spans="1:1" x14ac:dyDescent="0.25">
      <c r="A340" s="3">
        <v>449</v>
      </c>
    </row>
    <row r="341" spans="1:1" x14ac:dyDescent="0.25">
      <c r="A341" s="3">
        <v>449</v>
      </c>
    </row>
    <row r="342" spans="1:1" x14ac:dyDescent="0.25">
      <c r="A342" s="3">
        <v>211</v>
      </c>
    </row>
    <row r="343" spans="1:1" x14ac:dyDescent="0.25">
      <c r="A343" s="3">
        <v>399</v>
      </c>
    </row>
    <row r="344" spans="1:1" x14ac:dyDescent="0.25">
      <c r="A344" s="3">
        <v>499</v>
      </c>
    </row>
    <row r="345" spans="1:1" x14ac:dyDescent="0.25">
      <c r="A345" s="3">
        <v>449</v>
      </c>
    </row>
    <row r="346" spans="1:1" x14ac:dyDescent="0.25">
      <c r="A346" s="3">
        <v>299</v>
      </c>
    </row>
    <row r="347" spans="1:1" x14ac:dyDescent="0.25">
      <c r="A347" s="3">
        <v>399</v>
      </c>
    </row>
    <row r="348" spans="1:1" x14ac:dyDescent="0.25">
      <c r="A348" s="3">
        <v>599</v>
      </c>
    </row>
    <row r="349" spans="1:1" x14ac:dyDescent="0.25">
      <c r="A349" s="3">
        <v>499</v>
      </c>
    </row>
    <row r="350" spans="1:1" x14ac:dyDescent="0.25">
      <c r="A350" s="3">
        <v>449</v>
      </c>
    </row>
    <row r="351" spans="1:1" x14ac:dyDescent="0.25">
      <c r="A351" s="3">
        <v>499</v>
      </c>
    </row>
    <row r="352" spans="1:1" x14ac:dyDescent="0.25">
      <c r="A352" s="3">
        <v>399</v>
      </c>
    </row>
    <row r="353" spans="1:1" x14ac:dyDescent="0.25">
      <c r="A353" s="3">
        <v>499</v>
      </c>
    </row>
    <row r="354" spans="1:1" x14ac:dyDescent="0.25">
      <c r="A354" s="3">
        <v>499</v>
      </c>
    </row>
    <row r="355" spans="1:1" x14ac:dyDescent="0.25">
      <c r="A355" s="3">
        <v>445</v>
      </c>
    </row>
    <row r="356" spans="1:1" x14ac:dyDescent="0.25">
      <c r="A356" s="3">
        <v>699</v>
      </c>
    </row>
    <row r="357" spans="1:1" x14ac:dyDescent="0.25">
      <c r="A357" s="3">
        <v>299</v>
      </c>
    </row>
    <row r="358" spans="1:1" x14ac:dyDescent="0.25">
      <c r="A358" s="3">
        <v>499</v>
      </c>
    </row>
    <row r="359" spans="1:1" x14ac:dyDescent="0.25">
      <c r="A359" s="3">
        <v>299</v>
      </c>
    </row>
    <row r="360" spans="1:1" x14ac:dyDescent="0.25">
      <c r="A360" s="3">
        <v>495</v>
      </c>
    </row>
    <row r="361" spans="1:1" x14ac:dyDescent="0.25">
      <c r="A361" s="3">
        <v>349</v>
      </c>
    </row>
    <row r="362" spans="1:1" x14ac:dyDescent="0.25">
      <c r="A362" s="3">
        <v>299</v>
      </c>
    </row>
    <row r="363" spans="1:1" x14ac:dyDescent="0.25">
      <c r="A363" s="3">
        <v>399</v>
      </c>
    </row>
    <row r="364" spans="1:1" x14ac:dyDescent="0.25">
      <c r="A364" s="3">
        <v>449</v>
      </c>
    </row>
    <row r="365" spans="1:1" x14ac:dyDescent="0.25">
      <c r="A365" s="3">
        <v>449</v>
      </c>
    </row>
    <row r="366" spans="1:1" x14ac:dyDescent="0.25">
      <c r="A366" s="3">
        <v>299</v>
      </c>
    </row>
    <row r="367" spans="1:1" x14ac:dyDescent="0.25">
      <c r="A367" s="3">
        <v>699</v>
      </c>
    </row>
    <row r="368" spans="1:1" x14ac:dyDescent="0.25">
      <c r="A368" s="3">
        <v>399</v>
      </c>
    </row>
    <row r="369" spans="1:1" x14ac:dyDescent="0.25">
      <c r="A369" s="3">
        <v>399</v>
      </c>
    </row>
    <row r="370" spans="1:1" x14ac:dyDescent="0.25">
      <c r="A370" s="3">
        <v>499</v>
      </c>
    </row>
    <row r="371" spans="1:1" x14ac:dyDescent="0.25">
      <c r="A371" s="3">
        <v>749</v>
      </c>
    </row>
    <row r="372" spans="1:1" x14ac:dyDescent="0.25">
      <c r="A372" s="3">
        <v>299</v>
      </c>
    </row>
    <row r="373" spans="1:1" x14ac:dyDescent="0.25">
      <c r="A373" s="3">
        <v>499</v>
      </c>
    </row>
    <row r="374" spans="1:1" x14ac:dyDescent="0.25">
      <c r="A374" s="3">
        <v>549</v>
      </c>
    </row>
    <row r="375" spans="1:1" x14ac:dyDescent="0.25">
      <c r="A375" s="3">
        <v>449</v>
      </c>
    </row>
    <row r="376" spans="1:1" x14ac:dyDescent="0.25">
      <c r="A376" s="3">
        <v>1099</v>
      </c>
    </row>
    <row r="377" spans="1:1" x14ac:dyDescent="0.25">
      <c r="A377" s="3">
        <v>759</v>
      </c>
    </row>
    <row r="378" spans="1:1" x14ac:dyDescent="0.25">
      <c r="A378" s="3">
        <v>599</v>
      </c>
    </row>
    <row r="379" spans="1:1" x14ac:dyDescent="0.25">
      <c r="A379" s="3">
        <v>299</v>
      </c>
    </row>
    <row r="380" spans="1:1" x14ac:dyDescent="0.25">
      <c r="A380" s="3">
        <v>449</v>
      </c>
    </row>
    <row r="381" spans="1:1" x14ac:dyDescent="0.25">
      <c r="A381" s="3">
        <v>499</v>
      </c>
    </row>
    <row r="382" spans="1:1" x14ac:dyDescent="0.25">
      <c r="A382" s="3">
        <v>579</v>
      </c>
    </row>
    <row r="383" spans="1:1" x14ac:dyDescent="0.25">
      <c r="A383" s="3">
        <v>499</v>
      </c>
    </row>
    <row r="384" spans="1:1" x14ac:dyDescent="0.25">
      <c r="A384" s="3">
        <v>449</v>
      </c>
    </row>
    <row r="385" spans="1:1" x14ac:dyDescent="0.25">
      <c r="A385" s="3">
        <v>449</v>
      </c>
    </row>
    <row r="386" spans="1:1" x14ac:dyDescent="0.25">
      <c r="A386" s="3">
        <v>789</v>
      </c>
    </row>
    <row r="387" spans="1:1" x14ac:dyDescent="0.25">
      <c r="A387" s="3">
        <v>499</v>
      </c>
    </row>
    <row r="388" spans="1:1" x14ac:dyDescent="0.25">
      <c r="A388" s="3">
        <v>998</v>
      </c>
    </row>
    <row r="389" spans="1:1" x14ac:dyDescent="0.25">
      <c r="A389" s="3">
        <v>599</v>
      </c>
    </row>
    <row r="390" spans="1:1" x14ac:dyDescent="0.25">
      <c r="A390" s="3">
        <v>499</v>
      </c>
    </row>
    <row r="391" spans="1:1" x14ac:dyDescent="0.25">
      <c r="A391" s="3">
        <v>499</v>
      </c>
    </row>
    <row r="392" spans="1:1" x14ac:dyDescent="0.25">
      <c r="A392" s="3">
        <v>400</v>
      </c>
    </row>
    <row r="393" spans="1:1" x14ac:dyDescent="0.25">
      <c r="A393" s="3">
        <v>499</v>
      </c>
    </row>
    <row r="394" spans="1:1" x14ac:dyDescent="0.25">
      <c r="A394" s="3">
        <v>999</v>
      </c>
    </row>
    <row r="395" spans="1:1" x14ac:dyDescent="0.25">
      <c r="A395" s="3">
        <v>499</v>
      </c>
    </row>
    <row r="396" spans="1:1" x14ac:dyDescent="0.25">
      <c r="A396" s="3">
        <v>445</v>
      </c>
    </row>
    <row r="397" spans="1:1" x14ac:dyDescent="0.25">
      <c r="A397" s="3">
        <v>499</v>
      </c>
    </row>
    <row r="398" spans="1:1" x14ac:dyDescent="0.25">
      <c r="A398" s="3">
        <v>349</v>
      </c>
    </row>
    <row r="399" spans="1:1" x14ac:dyDescent="0.25">
      <c r="A399" s="3">
        <v>499</v>
      </c>
    </row>
    <row r="400" spans="1:1" x14ac:dyDescent="0.25">
      <c r="A400" s="3">
        <v>495</v>
      </c>
    </row>
    <row r="401" spans="1:1" x14ac:dyDescent="0.25">
      <c r="A401" s="3">
        <v>349</v>
      </c>
    </row>
    <row r="402" spans="1:1" x14ac:dyDescent="0.25">
      <c r="A402" s="3">
        <v>299</v>
      </c>
    </row>
    <row r="403" spans="1:1" x14ac:dyDescent="0.25">
      <c r="A403" s="3">
        <v>399</v>
      </c>
    </row>
    <row r="404" spans="1:1" x14ac:dyDescent="0.25">
      <c r="A404" s="3">
        <v>449</v>
      </c>
    </row>
    <row r="405" spans="1:1" x14ac:dyDescent="0.25">
      <c r="A405" s="3">
        <v>449</v>
      </c>
    </row>
    <row r="406" spans="1:1" x14ac:dyDescent="0.25">
      <c r="A406" s="3">
        <v>299</v>
      </c>
    </row>
    <row r="407" spans="1:1" x14ac:dyDescent="0.25">
      <c r="A407" s="3">
        <v>999</v>
      </c>
    </row>
    <row r="408" spans="1:1" x14ac:dyDescent="0.25">
      <c r="A408" s="3">
        <v>399</v>
      </c>
    </row>
    <row r="409" spans="1:1" x14ac:dyDescent="0.25">
      <c r="A409" s="3">
        <v>399</v>
      </c>
    </row>
    <row r="410" spans="1:1" x14ac:dyDescent="0.25">
      <c r="A410" s="3">
        <v>499</v>
      </c>
    </row>
    <row r="411" spans="1:1" x14ac:dyDescent="0.25">
      <c r="A411" s="3">
        <v>749</v>
      </c>
    </row>
    <row r="412" spans="1:1" x14ac:dyDescent="0.25">
      <c r="A412" s="3">
        <v>299</v>
      </c>
    </row>
    <row r="413" spans="1:1" x14ac:dyDescent="0.25">
      <c r="A413" s="3">
        <v>699</v>
      </c>
    </row>
    <row r="414" spans="1:1" x14ac:dyDescent="0.25">
      <c r="A414" s="3">
        <v>549</v>
      </c>
    </row>
    <row r="415" spans="1:1" x14ac:dyDescent="0.25">
      <c r="A415" s="3">
        <v>449</v>
      </c>
    </row>
    <row r="416" spans="1:1" x14ac:dyDescent="0.25">
      <c r="A416" s="3">
        <v>1099</v>
      </c>
    </row>
    <row r="417" spans="1:1" x14ac:dyDescent="0.25">
      <c r="A417" s="3">
        <v>759</v>
      </c>
    </row>
    <row r="418" spans="1:1" x14ac:dyDescent="0.25">
      <c r="A418" s="3">
        <v>599</v>
      </c>
    </row>
    <row r="419" spans="1:1" x14ac:dyDescent="0.25">
      <c r="A419" s="3">
        <v>299</v>
      </c>
    </row>
    <row r="420" spans="1:1" x14ac:dyDescent="0.25">
      <c r="A420" s="3">
        <v>449</v>
      </c>
    </row>
    <row r="421" spans="1:1" x14ac:dyDescent="0.25">
      <c r="A421" s="3">
        <v>499</v>
      </c>
    </row>
    <row r="422" spans="1:1" x14ac:dyDescent="0.25">
      <c r="A422" s="3">
        <v>579</v>
      </c>
    </row>
    <row r="423" spans="1:1" x14ac:dyDescent="0.25">
      <c r="A423" s="3">
        <v>499</v>
      </c>
    </row>
    <row r="424" spans="1:1" x14ac:dyDescent="0.25">
      <c r="A424" s="3">
        <v>449</v>
      </c>
    </row>
    <row r="425" spans="1:1" x14ac:dyDescent="0.25">
      <c r="A425" s="3">
        <v>449</v>
      </c>
    </row>
    <row r="426" spans="1:1" x14ac:dyDescent="0.25">
      <c r="A426" s="3">
        <v>789</v>
      </c>
    </row>
    <row r="427" spans="1:1" x14ac:dyDescent="0.25">
      <c r="A427" s="3">
        <v>499</v>
      </c>
    </row>
    <row r="428" spans="1:1" x14ac:dyDescent="0.25">
      <c r="A428" s="3">
        <v>998</v>
      </c>
    </row>
    <row r="429" spans="1:1" x14ac:dyDescent="0.25">
      <c r="A429" s="3">
        <v>599</v>
      </c>
    </row>
    <row r="430" spans="1:1" x14ac:dyDescent="0.25">
      <c r="A430" s="3">
        <v>499</v>
      </c>
    </row>
    <row r="431" spans="1:1" x14ac:dyDescent="0.25">
      <c r="A431" s="3">
        <v>499</v>
      </c>
    </row>
    <row r="432" spans="1:1" x14ac:dyDescent="0.25">
      <c r="A432" s="3">
        <v>400</v>
      </c>
    </row>
    <row r="433" spans="1:1" x14ac:dyDescent="0.25">
      <c r="A433" s="3">
        <v>499</v>
      </c>
    </row>
    <row r="434" spans="1:1" x14ac:dyDescent="0.25">
      <c r="A434" s="3">
        <v>999</v>
      </c>
    </row>
    <row r="435" spans="1:1" x14ac:dyDescent="0.25">
      <c r="A435" s="3">
        <v>499</v>
      </c>
    </row>
    <row r="436" spans="1:1" x14ac:dyDescent="0.25">
      <c r="A436" s="3">
        <v>445</v>
      </c>
    </row>
    <row r="437" spans="1:1" x14ac:dyDescent="0.25">
      <c r="A437" s="3">
        <v>499</v>
      </c>
    </row>
    <row r="438" spans="1:1" x14ac:dyDescent="0.25">
      <c r="A438" s="3">
        <v>349</v>
      </c>
    </row>
    <row r="439" spans="1:1" x14ac:dyDescent="0.25">
      <c r="A439" s="3">
        <v>499</v>
      </c>
    </row>
    <row r="440" spans="1:1" x14ac:dyDescent="0.25">
      <c r="A440" s="3">
        <v>495</v>
      </c>
    </row>
    <row r="441" spans="1:1" x14ac:dyDescent="0.25">
      <c r="A441" s="3">
        <v>349</v>
      </c>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4D22-2078-4E45-821D-C78E64619626}">
  <dimension ref="A1:K462"/>
  <sheetViews>
    <sheetView zoomScale="63" workbookViewId="0">
      <selection activeCell="Y21" sqref="Y21"/>
    </sheetView>
  </sheetViews>
  <sheetFormatPr defaultRowHeight="15.75" x14ac:dyDescent="0.25"/>
  <cols>
    <col min="7" max="7" width="17.625" bestFit="1" customWidth="1"/>
    <col min="8" max="8" width="12.875" bestFit="1" customWidth="1"/>
  </cols>
  <sheetData>
    <row r="1" spans="1:8" x14ac:dyDescent="0.25">
      <c r="A1" s="1" t="s">
        <v>2</v>
      </c>
    </row>
    <row r="2" spans="1:8" x14ac:dyDescent="0.25">
      <c r="A2" s="2">
        <v>199</v>
      </c>
    </row>
    <row r="3" spans="1:8" x14ac:dyDescent="0.25">
      <c r="A3" s="2">
        <v>171</v>
      </c>
    </row>
    <row r="4" spans="1:8" x14ac:dyDescent="0.25">
      <c r="A4" s="2">
        <v>384</v>
      </c>
    </row>
    <row r="5" spans="1:8" x14ac:dyDescent="0.25">
      <c r="A5" s="2">
        <v>349</v>
      </c>
    </row>
    <row r="6" spans="1:8" x14ac:dyDescent="0.25">
      <c r="A6" s="2">
        <v>150</v>
      </c>
    </row>
    <row r="7" spans="1:8" x14ac:dyDescent="0.25">
      <c r="A7" s="2">
        <v>169</v>
      </c>
    </row>
    <row r="8" spans="1:8" x14ac:dyDescent="0.25">
      <c r="A8" s="2">
        <v>250</v>
      </c>
    </row>
    <row r="9" spans="1:8" x14ac:dyDescent="0.25">
      <c r="A9" s="2">
        <v>153</v>
      </c>
    </row>
    <row r="10" spans="1:8" x14ac:dyDescent="0.25">
      <c r="A10" s="2">
        <v>384</v>
      </c>
    </row>
    <row r="11" spans="1:8" x14ac:dyDescent="0.25">
      <c r="A11" s="2">
        <v>335</v>
      </c>
    </row>
    <row r="12" spans="1:8" x14ac:dyDescent="0.25">
      <c r="A12" s="2">
        <v>135</v>
      </c>
    </row>
    <row r="13" spans="1:8" x14ac:dyDescent="0.25">
      <c r="A13" s="2">
        <v>160</v>
      </c>
    </row>
    <row r="14" spans="1:8" ht="16.5" thickBot="1" x14ac:dyDescent="0.3">
      <c r="A14" s="2">
        <v>516</v>
      </c>
    </row>
    <row r="15" spans="1:8" x14ac:dyDescent="0.25">
      <c r="A15" s="2">
        <v>388</v>
      </c>
      <c r="G15" s="14" t="s">
        <v>1206</v>
      </c>
      <c r="H15" s="14"/>
    </row>
    <row r="16" spans="1:8" x14ac:dyDescent="0.25">
      <c r="A16" s="2">
        <v>145</v>
      </c>
      <c r="G16" s="11"/>
      <c r="H16" s="11"/>
    </row>
    <row r="17" spans="1:8" x14ac:dyDescent="0.25">
      <c r="A17" s="2">
        <v>179</v>
      </c>
      <c r="G17" s="11" t="s">
        <v>1192</v>
      </c>
      <c r="H17" s="11">
        <v>253.81818181818181</v>
      </c>
    </row>
    <row r="18" spans="1:8" x14ac:dyDescent="0.25">
      <c r="A18" s="2">
        <v>142</v>
      </c>
      <c r="G18" s="11" t="s">
        <v>1193</v>
      </c>
      <c r="H18" s="11">
        <v>5.7963843309069336</v>
      </c>
    </row>
    <row r="19" spans="1:8" x14ac:dyDescent="0.25">
      <c r="A19" s="2">
        <v>135</v>
      </c>
      <c r="G19" s="11" t="s">
        <v>1194</v>
      </c>
      <c r="H19" s="11">
        <v>201.5</v>
      </c>
    </row>
    <row r="20" spans="1:8" x14ac:dyDescent="0.25">
      <c r="A20" s="2">
        <v>349</v>
      </c>
      <c r="G20" s="11" t="s">
        <v>1195</v>
      </c>
      <c r="H20" s="11">
        <v>335</v>
      </c>
    </row>
    <row r="21" spans="1:8" x14ac:dyDescent="0.25">
      <c r="A21" s="2">
        <v>349</v>
      </c>
      <c r="G21" s="11" t="s">
        <v>1196</v>
      </c>
      <c r="H21" s="11">
        <v>121.58598347300031</v>
      </c>
    </row>
    <row r="22" spans="1:8" x14ac:dyDescent="0.25">
      <c r="A22" s="2">
        <v>264</v>
      </c>
      <c r="G22" s="11" t="s">
        <v>1197</v>
      </c>
      <c r="H22" s="11">
        <v>14783.151377096705</v>
      </c>
    </row>
    <row r="23" spans="1:8" x14ac:dyDescent="0.25">
      <c r="A23" s="2">
        <v>135</v>
      </c>
      <c r="G23" s="11" t="s">
        <v>1198</v>
      </c>
      <c r="H23" s="11">
        <v>4.9566655659237018</v>
      </c>
    </row>
    <row r="24" spans="1:8" x14ac:dyDescent="0.25">
      <c r="A24" s="2">
        <v>424</v>
      </c>
      <c r="G24" s="11" t="s">
        <v>1199</v>
      </c>
      <c r="H24" s="11">
        <v>1.3799575978331422</v>
      </c>
    </row>
    <row r="25" spans="1:8" x14ac:dyDescent="0.25">
      <c r="A25" s="2">
        <v>359</v>
      </c>
      <c r="G25" s="11" t="s">
        <v>1200</v>
      </c>
      <c r="H25" s="11">
        <v>895</v>
      </c>
    </row>
    <row r="26" spans="1:8" x14ac:dyDescent="0.25">
      <c r="A26" s="2">
        <v>196</v>
      </c>
      <c r="G26" s="11" t="s">
        <v>1201</v>
      </c>
      <c r="H26" s="11">
        <v>116</v>
      </c>
    </row>
    <row r="27" spans="1:8" x14ac:dyDescent="0.25">
      <c r="A27" s="2">
        <v>134</v>
      </c>
      <c r="G27" s="11" t="s">
        <v>1202</v>
      </c>
      <c r="H27" s="11">
        <v>1011</v>
      </c>
    </row>
    <row r="28" spans="1:8" x14ac:dyDescent="0.25">
      <c r="A28" s="2">
        <v>169</v>
      </c>
      <c r="G28" s="11" t="s">
        <v>1203</v>
      </c>
      <c r="H28" s="11">
        <v>111680</v>
      </c>
    </row>
    <row r="29" spans="1:8" ht="16.5" thickBot="1" x14ac:dyDescent="0.3">
      <c r="A29" s="2">
        <v>233</v>
      </c>
      <c r="G29" s="12" t="s">
        <v>1204</v>
      </c>
      <c r="H29" s="12">
        <v>440</v>
      </c>
    </row>
    <row r="30" spans="1:8" x14ac:dyDescent="0.25">
      <c r="A30" s="2">
        <v>335</v>
      </c>
    </row>
    <row r="31" spans="1:8" x14ac:dyDescent="0.25">
      <c r="A31" s="2">
        <v>426</v>
      </c>
    </row>
    <row r="32" spans="1:8" x14ac:dyDescent="0.25">
      <c r="A32" s="2">
        <v>155</v>
      </c>
    </row>
    <row r="33" spans="1:1" x14ac:dyDescent="0.25">
      <c r="A33" s="2">
        <v>250</v>
      </c>
    </row>
    <row r="34" spans="1:1" x14ac:dyDescent="0.25">
      <c r="A34" s="2">
        <v>335</v>
      </c>
    </row>
    <row r="35" spans="1:1" x14ac:dyDescent="0.25">
      <c r="A35" s="2">
        <v>335</v>
      </c>
    </row>
    <row r="36" spans="1:1" x14ac:dyDescent="0.25">
      <c r="A36" s="2">
        <v>137</v>
      </c>
    </row>
    <row r="37" spans="1:1" x14ac:dyDescent="0.25">
      <c r="A37" s="2">
        <v>135</v>
      </c>
    </row>
    <row r="38" spans="1:1" x14ac:dyDescent="0.25">
      <c r="A38" s="2">
        <v>200</v>
      </c>
    </row>
    <row r="39" spans="1:1" x14ac:dyDescent="0.25">
      <c r="A39" s="2">
        <v>215</v>
      </c>
    </row>
    <row r="40" spans="1:1" x14ac:dyDescent="0.25">
      <c r="A40" s="2">
        <v>331</v>
      </c>
    </row>
    <row r="41" spans="1:1" x14ac:dyDescent="0.25">
      <c r="A41" s="2">
        <v>325</v>
      </c>
    </row>
    <row r="42" spans="1:1" x14ac:dyDescent="0.25">
      <c r="A42" s="2">
        <v>145</v>
      </c>
    </row>
    <row r="43" spans="1:1" x14ac:dyDescent="0.25">
      <c r="A43" s="2">
        <v>1011</v>
      </c>
    </row>
    <row r="44" spans="1:1" x14ac:dyDescent="0.25">
      <c r="A44" s="2">
        <v>384</v>
      </c>
    </row>
    <row r="45" spans="1:1" x14ac:dyDescent="0.25">
      <c r="A45" s="2">
        <v>349</v>
      </c>
    </row>
    <row r="46" spans="1:1" x14ac:dyDescent="0.25">
      <c r="A46" s="2">
        <v>198</v>
      </c>
    </row>
    <row r="47" spans="1:1" x14ac:dyDescent="0.25">
      <c r="A47" s="2">
        <v>149</v>
      </c>
    </row>
    <row r="48" spans="1:1" x14ac:dyDescent="0.25">
      <c r="A48" s="2">
        <v>454</v>
      </c>
    </row>
    <row r="49" spans="1:1" x14ac:dyDescent="0.25">
      <c r="A49" s="2">
        <v>188</v>
      </c>
    </row>
    <row r="50" spans="1:1" x14ac:dyDescent="0.25">
      <c r="A50" s="2">
        <v>384</v>
      </c>
    </row>
    <row r="51" spans="1:1" x14ac:dyDescent="0.25">
      <c r="A51" s="2">
        <v>335</v>
      </c>
    </row>
    <row r="52" spans="1:1" x14ac:dyDescent="0.25">
      <c r="A52" s="2">
        <v>149</v>
      </c>
    </row>
    <row r="53" spans="1:1" x14ac:dyDescent="0.25">
      <c r="A53" s="2">
        <v>132</v>
      </c>
    </row>
    <row r="54" spans="1:1" x14ac:dyDescent="0.25">
      <c r="A54" s="2">
        <v>516</v>
      </c>
    </row>
    <row r="55" spans="1:1" x14ac:dyDescent="0.25">
      <c r="A55" s="2">
        <v>388</v>
      </c>
    </row>
    <row r="56" spans="1:1" x14ac:dyDescent="0.25">
      <c r="A56" s="2">
        <v>216</v>
      </c>
    </row>
    <row r="57" spans="1:1" x14ac:dyDescent="0.25">
      <c r="A57" s="2">
        <v>144</v>
      </c>
    </row>
    <row r="58" spans="1:1" x14ac:dyDescent="0.25">
      <c r="A58" s="2">
        <v>145</v>
      </c>
    </row>
    <row r="59" spans="1:1" x14ac:dyDescent="0.25">
      <c r="A59" s="2">
        <v>165</v>
      </c>
    </row>
    <row r="60" spans="1:1" x14ac:dyDescent="0.25">
      <c r="A60" s="2">
        <v>349</v>
      </c>
    </row>
    <row r="61" spans="1:1" x14ac:dyDescent="0.25">
      <c r="A61" s="2">
        <v>349</v>
      </c>
    </row>
    <row r="62" spans="1:1" x14ac:dyDescent="0.25">
      <c r="A62" s="2">
        <v>189</v>
      </c>
    </row>
    <row r="63" spans="1:1" x14ac:dyDescent="0.25">
      <c r="A63" s="2">
        <v>149</v>
      </c>
    </row>
    <row r="64" spans="1:1" x14ac:dyDescent="0.25">
      <c r="A64" s="2">
        <v>424</v>
      </c>
    </row>
    <row r="65" spans="1:1" x14ac:dyDescent="0.25">
      <c r="A65" s="2">
        <v>359</v>
      </c>
    </row>
    <row r="66" spans="1:1" x14ac:dyDescent="0.25">
      <c r="A66" s="2">
        <v>149</v>
      </c>
    </row>
    <row r="67" spans="1:1" x14ac:dyDescent="0.25">
      <c r="A67" s="2">
        <v>188</v>
      </c>
    </row>
    <row r="68" spans="1:1" x14ac:dyDescent="0.25">
      <c r="A68" s="2">
        <v>135</v>
      </c>
    </row>
    <row r="69" spans="1:1" x14ac:dyDescent="0.25">
      <c r="A69" s="2">
        <v>149</v>
      </c>
    </row>
    <row r="70" spans="1:1" x14ac:dyDescent="0.25">
      <c r="A70" s="2">
        <v>335</v>
      </c>
    </row>
    <row r="71" spans="1:1" x14ac:dyDescent="0.25">
      <c r="A71" s="2">
        <v>426</v>
      </c>
    </row>
    <row r="72" spans="1:1" x14ac:dyDescent="0.25">
      <c r="A72" s="2">
        <v>200</v>
      </c>
    </row>
    <row r="73" spans="1:1" x14ac:dyDescent="0.25">
      <c r="A73" s="2">
        <v>277</v>
      </c>
    </row>
    <row r="74" spans="1:1" x14ac:dyDescent="0.25">
      <c r="A74" s="2">
        <v>335</v>
      </c>
    </row>
    <row r="75" spans="1:1" x14ac:dyDescent="0.25">
      <c r="A75" s="2">
        <v>335</v>
      </c>
    </row>
    <row r="76" spans="1:1" x14ac:dyDescent="0.25">
      <c r="A76" s="2">
        <v>169</v>
      </c>
    </row>
    <row r="77" spans="1:1" x14ac:dyDescent="0.25">
      <c r="A77" s="2">
        <v>207</v>
      </c>
    </row>
    <row r="78" spans="1:1" x14ac:dyDescent="0.25">
      <c r="A78" s="2">
        <v>149</v>
      </c>
    </row>
    <row r="79" spans="1:1" x14ac:dyDescent="0.25">
      <c r="A79" s="2">
        <v>224</v>
      </c>
    </row>
    <row r="80" spans="1:1" x14ac:dyDescent="0.25">
      <c r="A80" s="2">
        <v>331</v>
      </c>
    </row>
    <row r="81" spans="1:1" x14ac:dyDescent="0.25">
      <c r="A81" s="2">
        <v>325</v>
      </c>
    </row>
    <row r="82" spans="1:1" x14ac:dyDescent="0.25">
      <c r="A82" s="2">
        <v>135</v>
      </c>
    </row>
    <row r="83" spans="1:1" x14ac:dyDescent="0.25">
      <c r="A83" s="2">
        <v>146</v>
      </c>
    </row>
    <row r="84" spans="1:1" x14ac:dyDescent="0.25">
      <c r="A84" s="2">
        <v>384</v>
      </c>
    </row>
    <row r="85" spans="1:1" x14ac:dyDescent="0.25">
      <c r="A85" s="2">
        <v>349</v>
      </c>
    </row>
    <row r="86" spans="1:1" x14ac:dyDescent="0.25">
      <c r="A86" s="2">
        <v>140</v>
      </c>
    </row>
    <row r="87" spans="1:1" x14ac:dyDescent="0.25">
      <c r="A87" s="2">
        <v>149</v>
      </c>
    </row>
    <row r="88" spans="1:1" x14ac:dyDescent="0.25">
      <c r="A88" s="2">
        <v>149</v>
      </c>
    </row>
    <row r="89" spans="1:1" x14ac:dyDescent="0.25">
      <c r="A89" s="2">
        <v>182</v>
      </c>
    </row>
    <row r="90" spans="1:1" x14ac:dyDescent="0.25">
      <c r="A90" s="2">
        <v>384</v>
      </c>
    </row>
    <row r="91" spans="1:1" x14ac:dyDescent="0.25">
      <c r="A91" s="2">
        <v>335</v>
      </c>
    </row>
    <row r="92" spans="1:1" x14ac:dyDescent="0.25">
      <c r="A92" s="2">
        <v>135</v>
      </c>
    </row>
    <row r="93" spans="1:1" x14ac:dyDescent="0.25">
      <c r="A93" s="2">
        <v>167</v>
      </c>
    </row>
    <row r="94" spans="1:1" x14ac:dyDescent="0.25">
      <c r="A94" s="2">
        <v>516</v>
      </c>
    </row>
    <row r="95" spans="1:1" x14ac:dyDescent="0.25">
      <c r="A95" s="2">
        <v>388</v>
      </c>
    </row>
    <row r="96" spans="1:1" x14ac:dyDescent="0.25">
      <c r="A96" s="2">
        <v>528</v>
      </c>
    </row>
    <row r="97" spans="1:1" x14ac:dyDescent="0.25">
      <c r="A97" s="2">
        <v>181</v>
      </c>
    </row>
    <row r="98" spans="1:1" x14ac:dyDescent="0.25">
      <c r="A98" s="2">
        <v>147</v>
      </c>
    </row>
    <row r="99" spans="1:1" x14ac:dyDescent="0.25">
      <c r="A99" s="2">
        <v>137</v>
      </c>
    </row>
    <row r="100" spans="1:1" x14ac:dyDescent="0.25">
      <c r="A100" s="2">
        <v>349</v>
      </c>
    </row>
    <row r="101" spans="1:1" x14ac:dyDescent="0.25">
      <c r="A101" s="2">
        <v>349</v>
      </c>
    </row>
    <row r="102" spans="1:1" x14ac:dyDescent="0.25">
      <c r="A102" s="2">
        <v>145</v>
      </c>
    </row>
    <row r="103" spans="1:1" x14ac:dyDescent="0.25">
      <c r="A103" s="2">
        <v>492</v>
      </c>
    </row>
    <row r="104" spans="1:1" x14ac:dyDescent="0.25">
      <c r="A104" s="2">
        <v>424</v>
      </c>
    </row>
    <row r="105" spans="1:1" x14ac:dyDescent="0.25">
      <c r="A105" s="2">
        <v>359</v>
      </c>
    </row>
    <row r="106" spans="1:1" x14ac:dyDescent="0.25">
      <c r="A106" s="2">
        <v>191</v>
      </c>
    </row>
    <row r="107" spans="1:1" x14ac:dyDescent="0.25">
      <c r="A107" s="2">
        <v>205</v>
      </c>
    </row>
    <row r="108" spans="1:1" x14ac:dyDescent="0.25">
      <c r="A108" s="2">
        <v>180</v>
      </c>
    </row>
    <row r="109" spans="1:1" x14ac:dyDescent="0.25">
      <c r="A109" s="2">
        <v>142</v>
      </c>
    </row>
    <row r="110" spans="1:1" x14ac:dyDescent="0.25">
      <c r="A110" s="2">
        <v>335</v>
      </c>
    </row>
    <row r="111" spans="1:1" x14ac:dyDescent="0.25">
      <c r="A111" s="2">
        <v>426</v>
      </c>
    </row>
    <row r="112" spans="1:1" x14ac:dyDescent="0.25">
      <c r="A112" s="2">
        <v>172</v>
      </c>
    </row>
    <row r="113" spans="1:1" x14ac:dyDescent="0.25">
      <c r="A113" s="2">
        <v>130</v>
      </c>
    </row>
    <row r="114" spans="1:1" x14ac:dyDescent="0.25">
      <c r="A114" s="2">
        <v>335</v>
      </c>
    </row>
    <row r="115" spans="1:1" x14ac:dyDescent="0.25">
      <c r="A115" s="2">
        <v>335</v>
      </c>
    </row>
    <row r="116" spans="1:1" x14ac:dyDescent="0.25">
      <c r="A116" s="2">
        <v>253</v>
      </c>
    </row>
    <row r="117" spans="1:1" x14ac:dyDescent="0.25">
      <c r="A117" s="2">
        <v>179</v>
      </c>
    </row>
    <row r="118" spans="1:1" x14ac:dyDescent="0.25">
      <c r="A118" s="2">
        <v>121</v>
      </c>
    </row>
    <row r="119" spans="1:1" x14ac:dyDescent="0.25">
      <c r="A119" s="2">
        <v>169</v>
      </c>
    </row>
    <row r="120" spans="1:1" x14ac:dyDescent="0.25">
      <c r="A120" s="2">
        <v>331</v>
      </c>
    </row>
    <row r="121" spans="1:1" x14ac:dyDescent="0.25">
      <c r="A121" s="2">
        <v>325</v>
      </c>
    </row>
    <row r="122" spans="1:1" x14ac:dyDescent="0.25">
      <c r="A122" s="2">
        <v>139</v>
      </c>
    </row>
    <row r="123" spans="1:1" x14ac:dyDescent="0.25">
      <c r="A123" s="2">
        <v>140</v>
      </c>
    </row>
    <row r="124" spans="1:1" x14ac:dyDescent="0.25">
      <c r="A124" s="2">
        <v>384</v>
      </c>
    </row>
    <row r="125" spans="1:1" x14ac:dyDescent="0.25">
      <c r="A125" s="2">
        <v>349</v>
      </c>
    </row>
    <row r="126" spans="1:1" x14ac:dyDescent="0.25">
      <c r="A126" s="2">
        <v>135</v>
      </c>
    </row>
    <row r="127" spans="1:1" x14ac:dyDescent="0.25">
      <c r="A127" s="2">
        <v>158</v>
      </c>
    </row>
    <row r="128" spans="1:1" x14ac:dyDescent="0.25">
      <c r="A128" s="2">
        <v>210</v>
      </c>
    </row>
    <row r="129" spans="1:1" x14ac:dyDescent="0.25">
      <c r="A129" s="2">
        <v>205</v>
      </c>
    </row>
    <row r="130" spans="1:1" x14ac:dyDescent="0.25">
      <c r="A130" s="2">
        <v>384</v>
      </c>
    </row>
    <row r="131" spans="1:1" x14ac:dyDescent="0.25">
      <c r="A131" s="2">
        <v>335</v>
      </c>
    </row>
    <row r="132" spans="1:1" x14ac:dyDescent="0.25">
      <c r="A132" s="2">
        <v>177</v>
      </c>
    </row>
    <row r="133" spans="1:1" x14ac:dyDescent="0.25">
      <c r="A133" s="2">
        <v>177</v>
      </c>
    </row>
    <row r="134" spans="1:1" x14ac:dyDescent="0.25">
      <c r="A134" s="2">
        <v>516</v>
      </c>
    </row>
    <row r="135" spans="1:1" x14ac:dyDescent="0.25">
      <c r="A135" s="2">
        <v>388</v>
      </c>
    </row>
    <row r="136" spans="1:1" x14ac:dyDescent="0.25">
      <c r="A136" s="2">
        <v>145</v>
      </c>
    </row>
    <row r="137" spans="1:1" x14ac:dyDescent="0.25">
      <c r="A137" s="2">
        <v>140</v>
      </c>
    </row>
    <row r="138" spans="1:1" x14ac:dyDescent="0.25">
      <c r="A138" s="2">
        <v>140</v>
      </c>
    </row>
    <row r="139" spans="1:1" x14ac:dyDescent="0.25">
      <c r="A139" s="2">
        <v>137</v>
      </c>
    </row>
    <row r="140" spans="1:1" x14ac:dyDescent="0.25">
      <c r="A140" s="2">
        <v>349</v>
      </c>
    </row>
    <row r="141" spans="1:1" x14ac:dyDescent="0.25">
      <c r="A141" s="2">
        <v>349</v>
      </c>
    </row>
    <row r="142" spans="1:1" x14ac:dyDescent="0.25">
      <c r="A142" s="2">
        <v>142</v>
      </c>
    </row>
    <row r="143" spans="1:1" x14ac:dyDescent="0.25">
      <c r="A143" s="2">
        <v>150</v>
      </c>
    </row>
    <row r="144" spans="1:1" x14ac:dyDescent="0.25">
      <c r="A144" s="2">
        <v>424</v>
      </c>
    </row>
    <row r="145" spans="1:1" x14ac:dyDescent="0.25">
      <c r="A145" s="2">
        <v>359</v>
      </c>
    </row>
    <row r="146" spans="1:1" x14ac:dyDescent="0.25">
      <c r="A146" s="2">
        <v>231</v>
      </c>
    </row>
    <row r="147" spans="1:1" x14ac:dyDescent="0.25">
      <c r="A147" s="2">
        <v>128</v>
      </c>
    </row>
    <row r="148" spans="1:1" x14ac:dyDescent="0.25">
      <c r="A148" s="2">
        <v>123</v>
      </c>
    </row>
    <row r="149" spans="1:1" x14ac:dyDescent="0.25">
      <c r="A149" s="2">
        <v>161</v>
      </c>
    </row>
    <row r="150" spans="1:1" x14ac:dyDescent="0.25">
      <c r="A150" s="2">
        <v>335</v>
      </c>
    </row>
    <row r="151" spans="1:1" x14ac:dyDescent="0.25">
      <c r="A151" s="2">
        <v>426</v>
      </c>
    </row>
    <row r="152" spans="1:1" x14ac:dyDescent="0.25">
      <c r="A152" s="2">
        <v>142</v>
      </c>
    </row>
    <row r="153" spans="1:1" x14ac:dyDescent="0.25">
      <c r="A153" s="2">
        <v>121</v>
      </c>
    </row>
    <row r="154" spans="1:1" x14ac:dyDescent="0.25">
      <c r="A154" s="2">
        <v>335</v>
      </c>
    </row>
    <row r="155" spans="1:1" x14ac:dyDescent="0.25">
      <c r="A155" s="2">
        <v>335</v>
      </c>
    </row>
    <row r="156" spans="1:1" x14ac:dyDescent="0.25">
      <c r="A156" s="2">
        <v>134</v>
      </c>
    </row>
    <row r="157" spans="1:1" x14ac:dyDescent="0.25">
      <c r="A157" s="2">
        <v>188</v>
      </c>
    </row>
    <row r="158" spans="1:1" x14ac:dyDescent="0.25">
      <c r="A158" s="2">
        <v>150</v>
      </c>
    </row>
    <row r="159" spans="1:1" x14ac:dyDescent="0.25">
      <c r="A159" s="2">
        <v>134</v>
      </c>
    </row>
    <row r="160" spans="1:1" x14ac:dyDescent="0.25">
      <c r="A160" s="2">
        <v>331</v>
      </c>
    </row>
    <row r="161" spans="1:1" x14ac:dyDescent="0.25">
      <c r="A161" s="2">
        <v>325</v>
      </c>
    </row>
    <row r="162" spans="1:1" x14ac:dyDescent="0.25">
      <c r="A162" s="2">
        <v>149</v>
      </c>
    </row>
    <row r="163" spans="1:1" x14ac:dyDescent="0.25">
      <c r="A163" s="2">
        <v>147</v>
      </c>
    </row>
    <row r="164" spans="1:1" x14ac:dyDescent="0.25">
      <c r="A164" s="2">
        <v>384</v>
      </c>
    </row>
    <row r="165" spans="1:1" x14ac:dyDescent="0.25">
      <c r="A165" s="2">
        <v>349</v>
      </c>
    </row>
    <row r="166" spans="1:1" x14ac:dyDescent="0.25">
      <c r="A166" s="2">
        <v>145</v>
      </c>
    </row>
    <row r="167" spans="1:1" x14ac:dyDescent="0.25">
      <c r="A167" s="2">
        <v>198</v>
      </c>
    </row>
    <row r="168" spans="1:1" x14ac:dyDescent="0.25">
      <c r="A168" s="2">
        <v>140</v>
      </c>
    </row>
    <row r="169" spans="1:1" x14ac:dyDescent="0.25">
      <c r="A169" s="2">
        <v>165</v>
      </c>
    </row>
    <row r="170" spans="1:1" x14ac:dyDescent="0.25">
      <c r="A170" s="2">
        <v>384</v>
      </c>
    </row>
    <row r="171" spans="1:1" x14ac:dyDescent="0.25">
      <c r="A171" s="2">
        <v>335</v>
      </c>
    </row>
    <row r="172" spans="1:1" x14ac:dyDescent="0.25">
      <c r="A172" s="2">
        <v>132</v>
      </c>
    </row>
    <row r="173" spans="1:1" x14ac:dyDescent="0.25">
      <c r="A173" s="2">
        <v>193</v>
      </c>
    </row>
    <row r="174" spans="1:1" x14ac:dyDescent="0.25">
      <c r="A174" s="2">
        <v>516</v>
      </c>
    </row>
    <row r="175" spans="1:1" x14ac:dyDescent="0.25">
      <c r="A175" s="2">
        <v>388</v>
      </c>
    </row>
    <row r="176" spans="1:1" x14ac:dyDescent="0.25">
      <c r="A176" s="2">
        <v>150</v>
      </c>
    </row>
    <row r="177" spans="1:1" x14ac:dyDescent="0.25">
      <c r="A177" s="2">
        <v>139</v>
      </c>
    </row>
    <row r="178" spans="1:1" x14ac:dyDescent="0.25">
      <c r="A178" s="2">
        <v>230</v>
      </c>
    </row>
    <row r="179" spans="1:1" x14ac:dyDescent="0.25">
      <c r="A179" s="2">
        <v>140</v>
      </c>
    </row>
    <row r="180" spans="1:1" x14ac:dyDescent="0.25">
      <c r="A180" s="2">
        <v>349</v>
      </c>
    </row>
    <row r="181" spans="1:1" x14ac:dyDescent="0.25">
      <c r="A181" s="2">
        <v>349</v>
      </c>
    </row>
    <row r="182" spans="1:1" x14ac:dyDescent="0.25">
      <c r="A182" s="2">
        <v>155</v>
      </c>
    </row>
    <row r="183" spans="1:1" x14ac:dyDescent="0.25">
      <c r="A183" s="2">
        <v>170</v>
      </c>
    </row>
    <row r="184" spans="1:1" x14ac:dyDescent="0.25">
      <c r="A184" s="2">
        <v>424</v>
      </c>
    </row>
    <row r="185" spans="1:1" x14ac:dyDescent="0.25">
      <c r="A185" s="2">
        <v>359</v>
      </c>
    </row>
    <row r="186" spans="1:1" x14ac:dyDescent="0.25">
      <c r="A186" s="2">
        <v>392</v>
      </c>
    </row>
    <row r="187" spans="1:1" x14ac:dyDescent="0.25">
      <c r="A187" s="2">
        <v>140</v>
      </c>
    </row>
    <row r="188" spans="1:1" x14ac:dyDescent="0.25">
      <c r="A188" s="2">
        <v>140</v>
      </c>
    </row>
    <row r="189" spans="1:1" x14ac:dyDescent="0.25">
      <c r="A189" s="2">
        <v>162</v>
      </c>
    </row>
    <row r="190" spans="1:1" x14ac:dyDescent="0.25">
      <c r="A190" s="2">
        <v>335</v>
      </c>
    </row>
    <row r="191" spans="1:1" x14ac:dyDescent="0.25">
      <c r="A191" s="2">
        <v>426</v>
      </c>
    </row>
    <row r="192" spans="1:1" x14ac:dyDescent="0.25">
      <c r="A192" s="2">
        <v>169</v>
      </c>
    </row>
    <row r="193" spans="1:1" x14ac:dyDescent="0.25">
      <c r="A193" s="2">
        <v>279</v>
      </c>
    </row>
    <row r="194" spans="1:1" x14ac:dyDescent="0.25">
      <c r="A194" s="2">
        <v>335</v>
      </c>
    </row>
    <row r="195" spans="1:1" x14ac:dyDescent="0.25">
      <c r="A195" s="2">
        <v>335</v>
      </c>
    </row>
    <row r="196" spans="1:1" x14ac:dyDescent="0.25">
      <c r="A196" s="2">
        <v>144</v>
      </c>
    </row>
    <row r="197" spans="1:1" x14ac:dyDescent="0.25">
      <c r="A197" s="2">
        <v>176</v>
      </c>
    </row>
    <row r="198" spans="1:1" x14ac:dyDescent="0.25">
      <c r="A198" s="2">
        <v>994</v>
      </c>
    </row>
    <row r="199" spans="1:1" x14ac:dyDescent="0.25">
      <c r="A199" s="2">
        <v>182</v>
      </c>
    </row>
    <row r="200" spans="1:1" x14ac:dyDescent="0.25">
      <c r="A200" s="2">
        <v>331</v>
      </c>
    </row>
    <row r="201" spans="1:1" x14ac:dyDescent="0.25">
      <c r="A201" s="2">
        <v>325</v>
      </c>
    </row>
    <row r="202" spans="1:1" x14ac:dyDescent="0.25">
      <c r="A202" s="2">
        <v>132</v>
      </c>
    </row>
    <row r="203" spans="1:1" x14ac:dyDescent="0.25">
      <c r="A203" s="2">
        <v>179</v>
      </c>
    </row>
    <row r="204" spans="1:1" x14ac:dyDescent="0.25">
      <c r="A204" s="2">
        <v>384</v>
      </c>
    </row>
    <row r="205" spans="1:1" x14ac:dyDescent="0.25">
      <c r="A205" s="2">
        <v>349</v>
      </c>
    </row>
    <row r="206" spans="1:1" x14ac:dyDescent="0.25">
      <c r="A206" s="2">
        <v>270</v>
      </c>
    </row>
    <row r="207" spans="1:1" x14ac:dyDescent="0.25">
      <c r="A207" s="2">
        <v>157</v>
      </c>
    </row>
    <row r="208" spans="1:1" x14ac:dyDescent="0.25">
      <c r="A208" s="2">
        <v>193</v>
      </c>
    </row>
    <row r="209" spans="1:1" x14ac:dyDescent="0.25">
      <c r="A209" s="2">
        <v>199</v>
      </c>
    </row>
    <row r="210" spans="1:1" x14ac:dyDescent="0.25">
      <c r="A210" s="2">
        <v>384</v>
      </c>
    </row>
    <row r="211" spans="1:1" x14ac:dyDescent="0.25">
      <c r="A211" s="2">
        <v>335</v>
      </c>
    </row>
    <row r="212" spans="1:1" x14ac:dyDescent="0.25">
      <c r="A212" s="2">
        <v>220</v>
      </c>
    </row>
    <row r="213" spans="1:1" x14ac:dyDescent="0.25">
      <c r="A213" s="2">
        <v>140</v>
      </c>
    </row>
    <row r="214" spans="1:1" x14ac:dyDescent="0.25">
      <c r="A214" s="2">
        <v>516</v>
      </c>
    </row>
    <row r="215" spans="1:1" x14ac:dyDescent="0.25">
      <c r="A215" s="2">
        <v>388</v>
      </c>
    </row>
    <row r="216" spans="1:1" x14ac:dyDescent="0.25">
      <c r="A216" s="2">
        <v>140</v>
      </c>
    </row>
    <row r="217" spans="1:1" x14ac:dyDescent="0.25">
      <c r="A217" s="2">
        <v>137</v>
      </c>
    </row>
    <row r="218" spans="1:1" x14ac:dyDescent="0.25">
      <c r="A218" s="2">
        <v>198</v>
      </c>
    </row>
    <row r="219" spans="1:1" x14ac:dyDescent="0.25">
      <c r="A219" s="2">
        <v>222</v>
      </c>
    </row>
    <row r="220" spans="1:1" x14ac:dyDescent="0.25">
      <c r="A220" s="2">
        <v>349</v>
      </c>
    </row>
    <row r="221" spans="1:1" x14ac:dyDescent="0.25">
      <c r="A221" s="2">
        <v>349</v>
      </c>
    </row>
    <row r="222" spans="1:1" x14ac:dyDescent="0.25">
      <c r="A222" s="2">
        <v>283</v>
      </c>
    </row>
    <row r="223" spans="1:1" x14ac:dyDescent="0.25">
      <c r="A223" s="2">
        <v>179</v>
      </c>
    </row>
    <row r="224" spans="1:1" x14ac:dyDescent="0.25">
      <c r="A224" s="2">
        <v>424</v>
      </c>
    </row>
    <row r="225" spans="1:1" x14ac:dyDescent="0.25">
      <c r="A225" s="2">
        <v>359</v>
      </c>
    </row>
    <row r="226" spans="1:1" x14ac:dyDescent="0.25">
      <c r="A226" s="2">
        <v>135</v>
      </c>
    </row>
    <row r="227" spans="1:1" x14ac:dyDescent="0.25">
      <c r="A227" s="2">
        <v>212</v>
      </c>
    </row>
    <row r="228" spans="1:1" x14ac:dyDescent="0.25">
      <c r="A228" s="2">
        <v>147</v>
      </c>
    </row>
    <row r="229" spans="1:1" x14ac:dyDescent="0.25">
      <c r="A229" s="2">
        <v>120</v>
      </c>
    </row>
    <row r="230" spans="1:1" x14ac:dyDescent="0.25">
      <c r="A230" s="2">
        <v>335</v>
      </c>
    </row>
    <row r="231" spans="1:1" x14ac:dyDescent="0.25">
      <c r="A231" s="2">
        <v>426</v>
      </c>
    </row>
    <row r="232" spans="1:1" x14ac:dyDescent="0.25">
      <c r="A232" s="2">
        <v>142</v>
      </c>
    </row>
    <row r="233" spans="1:1" x14ac:dyDescent="0.25">
      <c r="A233" s="2">
        <v>195</v>
      </c>
    </row>
    <row r="234" spans="1:1" x14ac:dyDescent="0.25">
      <c r="A234" s="2">
        <v>335</v>
      </c>
    </row>
    <row r="235" spans="1:1" x14ac:dyDescent="0.25">
      <c r="A235" s="2">
        <v>335</v>
      </c>
    </row>
    <row r="236" spans="1:1" x14ac:dyDescent="0.25">
      <c r="A236" s="2">
        <v>172</v>
      </c>
    </row>
    <row r="237" spans="1:1" x14ac:dyDescent="0.25">
      <c r="A237" s="2">
        <v>135</v>
      </c>
    </row>
    <row r="238" spans="1:1" x14ac:dyDescent="0.25">
      <c r="A238" s="2">
        <v>283</v>
      </c>
    </row>
    <row r="239" spans="1:1" x14ac:dyDescent="0.25">
      <c r="A239" s="2">
        <v>161</v>
      </c>
    </row>
    <row r="240" spans="1:1" x14ac:dyDescent="0.25">
      <c r="A240" s="2">
        <v>331</v>
      </c>
    </row>
    <row r="241" spans="1:1" x14ac:dyDescent="0.25">
      <c r="A241" s="2">
        <v>325</v>
      </c>
    </row>
    <row r="242" spans="1:1" x14ac:dyDescent="0.25">
      <c r="A242" s="2">
        <v>212</v>
      </c>
    </row>
    <row r="243" spans="1:1" x14ac:dyDescent="0.25">
      <c r="A243" s="2">
        <v>169</v>
      </c>
    </row>
    <row r="244" spans="1:1" x14ac:dyDescent="0.25">
      <c r="A244" s="2">
        <v>134</v>
      </c>
    </row>
    <row r="245" spans="1:1" x14ac:dyDescent="0.25">
      <c r="A245" s="2">
        <v>349</v>
      </c>
    </row>
    <row r="246" spans="1:1" x14ac:dyDescent="0.25">
      <c r="A246" s="2">
        <v>147</v>
      </c>
    </row>
    <row r="247" spans="1:1" x14ac:dyDescent="0.25">
      <c r="A247" s="2">
        <v>157</v>
      </c>
    </row>
    <row r="248" spans="1:1" x14ac:dyDescent="0.25">
      <c r="A248" s="2">
        <v>149</v>
      </c>
    </row>
    <row r="249" spans="1:1" x14ac:dyDescent="0.25">
      <c r="A249" s="2">
        <v>290</v>
      </c>
    </row>
    <row r="250" spans="1:1" x14ac:dyDescent="0.25">
      <c r="A250" s="2">
        <v>384</v>
      </c>
    </row>
    <row r="251" spans="1:1" x14ac:dyDescent="0.25">
      <c r="A251" s="2">
        <v>335</v>
      </c>
    </row>
    <row r="252" spans="1:1" x14ac:dyDescent="0.25">
      <c r="A252" s="2">
        <v>217</v>
      </c>
    </row>
    <row r="253" spans="1:1" x14ac:dyDescent="0.25">
      <c r="A253" s="2">
        <v>165</v>
      </c>
    </row>
    <row r="254" spans="1:1" x14ac:dyDescent="0.25">
      <c r="A254" s="2">
        <v>516</v>
      </c>
    </row>
    <row r="255" spans="1:1" x14ac:dyDescent="0.25">
      <c r="A255" s="2">
        <v>388</v>
      </c>
    </row>
    <row r="256" spans="1:1" x14ac:dyDescent="0.25">
      <c r="A256" s="2">
        <v>135</v>
      </c>
    </row>
    <row r="257" spans="1:1" x14ac:dyDescent="0.25">
      <c r="A257" s="2">
        <v>179</v>
      </c>
    </row>
    <row r="258" spans="1:1" x14ac:dyDescent="0.25">
      <c r="A258" s="2">
        <v>142</v>
      </c>
    </row>
    <row r="259" spans="1:1" x14ac:dyDescent="0.25">
      <c r="A259" s="2">
        <v>137</v>
      </c>
    </row>
    <row r="260" spans="1:1" x14ac:dyDescent="0.25">
      <c r="A260" s="2">
        <v>349</v>
      </c>
    </row>
    <row r="261" spans="1:1" x14ac:dyDescent="0.25">
      <c r="A261" s="2">
        <v>349</v>
      </c>
    </row>
    <row r="262" spans="1:1" x14ac:dyDescent="0.25">
      <c r="A262" s="2">
        <v>135</v>
      </c>
    </row>
    <row r="263" spans="1:1" x14ac:dyDescent="0.25">
      <c r="A263" s="2">
        <v>140</v>
      </c>
    </row>
    <row r="264" spans="1:1" x14ac:dyDescent="0.25">
      <c r="A264" s="2">
        <v>424</v>
      </c>
    </row>
    <row r="265" spans="1:1" x14ac:dyDescent="0.25">
      <c r="A265" s="2">
        <v>359</v>
      </c>
    </row>
    <row r="266" spans="1:1" x14ac:dyDescent="0.25">
      <c r="A266" s="2">
        <v>310</v>
      </c>
    </row>
    <row r="267" spans="1:1" x14ac:dyDescent="0.25">
      <c r="A267" s="2">
        <v>149</v>
      </c>
    </row>
    <row r="268" spans="1:1" x14ac:dyDescent="0.25">
      <c r="A268" s="2">
        <v>169</v>
      </c>
    </row>
    <row r="269" spans="1:1" x14ac:dyDescent="0.25">
      <c r="A269" s="2">
        <v>345</v>
      </c>
    </row>
    <row r="270" spans="1:1" x14ac:dyDescent="0.25">
      <c r="A270" s="2">
        <v>335</v>
      </c>
    </row>
    <row r="271" spans="1:1" x14ac:dyDescent="0.25">
      <c r="A271" s="2">
        <v>426</v>
      </c>
    </row>
    <row r="272" spans="1:1" x14ac:dyDescent="0.25">
      <c r="A272" s="2">
        <v>203</v>
      </c>
    </row>
    <row r="273" spans="1:1" x14ac:dyDescent="0.25">
      <c r="A273" s="2">
        <v>140</v>
      </c>
    </row>
    <row r="274" spans="1:1" x14ac:dyDescent="0.25">
      <c r="A274" s="2">
        <v>335</v>
      </c>
    </row>
    <row r="275" spans="1:1" x14ac:dyDescent="0.25">
      <c r="A275" s="2">
        <v>335</v>
      </c>
    </row>
    <row r="276" spans="1:1" x14ac:dyDescent="0.25">
      <c r="A276" s="2">
        <v>151</v>
      </c>
    </row>
    <row r="277" spans="1:1" x14ac:dyDescent="0.25">
      <c r="A277" s="2">
        <v>150</v>
      </c>
    </row>
    <row r="278" spans="1:1" x14ac:dyDescent="0.25">
      <c r="A278" s="2">
        <v>158</v>
      </c>
    </row>
    <row r="279" spans="1:1" x14ac:dyDescent="0.25">
      <c r="A279" s="2">
        <v>145</v>
      </c>
    </row>
    <row r="280" spans="1:1" x14ac:dyDescent="0.25">
      <c r="A280" s="2">
        <v>331</v>
      </c>
    </row>
    <row r="281" spans="1:1" x14ac:dyDescent="0.25">
      <c r="A281" s="2">
        <v>325</v>
      </c>
    </row>
    <row r="282" spans="1:1" x14ac:dyDescent="0.25">
      <c r="A282" s="2">
        <v>159</v>
      </c>
    </row>
    <row r="283" spans="1:1" x14ac:dyDescent="0.25">
      <c r="A283" s="2">
        <v>380</v>
      </c>
    </row>
    <row r="284" spans="1:1" x14ac:dyDescent="0.25">
      <c r="A284" s="2">
        <v>167</v>
      </c>
    </row>
    <row r="285" spans="1:1" x14ac:dyDescent="0.25">
      <c r="A285" s="2">
        <v>349</v>
      </c>
    </row>
    <row r="286" spans="1:1" x14ac:dyDescent="0.25">
      <c r="A286" s="2">
        <v>130</v>
      </c>
    </row>
    <row r="287" spans="1:1" x14ac:dyDescent="0.25">
      <c r="A287" s="2">
        <v>426</v>
      </c>
    </row>
    <row r="288" spans="1:1" x14ac:dyDescent="0.25">
      <c r="A288" s="2">
        <v>147</v>
      </c>
    </row>
    <row r="289" spans="1:1" x14ac:dyDescent="0.25">
      <c r="A289" s="2">
        <v>150</v>
      </c>
    </row>
    <row r="290" spans="1:1" x14ac:dyDescent="0.25">
      <c r="A290" s="2">
        <v>384</v>
      </c>
    </row>
    <row r="291" spans="1:1" x14ac:dyDescent="0.25">
      <c r="A291" s="2">
        <v>335</v>
      </c>
    </row>
    <row r="292" spans="1:1" x14ac:dyDescent="0.25">
      <c r="A292" s="2">
        <v>165</v>
      </c>
    </row>
    <row r="293" spans="1:1" x14ac:dyDescent="0.25">
      <c r="A293" s="2">
        <v>150</v>
      </c>
    </row>
    <row r="294" spans="1:1" x14ac:dyDescent="0.25">
      <c r="A294" s="2">
        <v>516</v>
      </c>
    </row>
    <row r="295" spans="1:1" x14ac:dyDescent="0.25">
      <c r="A295" s="2">
        <v>388</v>
      </c>
    </row>
    <row r="296" spans="1:1" x14ac:dyDescent="0.25">
      <c r="A296" s="2">
        <v>169</v>
      </c>
    </row>
    <row r="297" spans="1:1" x14ac:dyDescent="0.25">
      <c r="A297" s="2">
        <v>160</v>
      </c>
    </row>
    <row r="298" spans="1:1" x14ac:dyDescent="0.25">
      <c r="A298" s="2">
        <v>145</v>
      </c>
    </row>
    <row r="299" spans="1:1" x14ac:dyDescent="0.25">
      <c r="A299" s="2">
        <v>167</v>
      </c>
    </row>
    <row r="300" spans="1:1" x14ac:dyDescent="0.25">
      <c r="A300" s="2">
        <v>349</v>
      </c>
    </row>
    <row r="301" spans="1:1" x14ac:dyDescent="0.25">
      <c r="A301" s="2">
        <v>349</v>
      </c>
    </row>
    <row r="302" spans="1:1" x14ac:dyDescent="0.25">
      <c r="A302" s="2">
        <v>145</v>
      </c>
    </row>
    <row r="303" spans="1:1" x14ac:dyDescent="0.25">
      <c r="A303" s="2">
        <v>145</v>
      </c>
    </row>
    <row r="304" spans="1:1" x14ac:dyDescent="0.25">
      <c r="A304" s="2">
        <v>424</v>
      </c>
    </row>
    <row r="305" spans="1:1" x14ac:dyDescent="0.25">
      <c r="A305" s="2">
        <v>359</v>
      </c>
    </row>
    <row r="306" spans="1:1" x14ac:dyDescent="0.25">
      <c r="A306" s="2">
        <v>144</v>
      </c>
    </row>
    <row r="307" spans="1:1" x14ac:dyDescent="0.25">
      <c r="A307" s="2">
        <v>135</v>
      </c>
    </row>
    <row r="308" spans="1:1" x14ac:dyDescent="0.25">
      <c r="A308" s="2">
        <v>135</v>
      </c>
    </row>
    <row r="309" spans="1:1" x14ac:dyDescent="0.25">
      <c r="A309" s="2">
        <v>135</v>
      </c>
    </row>
    <row r="310" spans="1:1" x14ac:dyDescent="0.25">
      <c r="A310" s="2">
        <v>335</v>
      </c>
    </row>
    <row r="311" spans="1:1" x14ac:dyDescent="0.25">
      <c r="A311" s="2">
        <v>426</v>
      </c>
    </row>
    <row r="312" spans="1:1" x14ac:dyDescent="0.25">
      <c r="A312" s="2">
        <v>142</v>
      </c>
    </row>
    <row r="313" spans="1:1" x14ac:dyDescent="0.25">
      <c r="A313" s="2">
        <v>132</v>
      </c>
    </row>
    <row r="314" spans="1:1" x14ac:dyDescent="0.25">
      <c r="A314" s="2">
        <v>335</v>
      </c>
    </row>
    <row r="315" spans="1:1" x14ac:dyDescent="0.25">
      <c r="A315" s="2">
        <v>335</v>
      </c>
    </row>
    <row r="316" spans="1:1" x14ac:dyDescent="0.25">
      <c r="A316" s="2">
        <v>132</v>
      </c>
    </row>
    <row r="317" spans="1:1" x14ac:dyDescent="0.25">
      <c r="A317" s="2">
        <v>132</v>
      </c>
    </row>
    <row r="318" spans="1:1" x14ac:dyDescent="0.25">
      <c r="A318" s="2">
        <v>142</v>
      </c>
    </row>
    <row r="319" spans="1:1" x14ac:dyDescent="0.25">
      <c r="A319" s="2">
        <v>142</v>
      </c>
    </row>
    <row r="320" spans="1:1" x14ac:dyDescent="0.25">
      <c r="A320" s="2">
        <v>331</v>
      </c>
    </row>
    <row r="321" spans="1:1" x14ac:dyDescent="0.25">
      <c r="A321" s="2">
        <v>325</v>
      </c>
    </row>
    <row r="322" spans="1:1" x14ac:dyDescent="0.25">
      <c r="A322" s="2">
        <v>145</v>
      </c>
    </row>
    <row r="323" spans="1:1" x14ac:dyDescent="0.25">
      <c r="A323" s="2">
        <v>147</v>
      </c>
    </row>
    <row r="324" spans="1:1" x14ac:dyDescent="0.25">
      <c r="A324" s="2">
        <v>116</v>
      </c>
    </row>
    <row r="325" spans="1:1" x14ac:dyDescent="0.25">
      <c r="A325" s="2">
        <v>349</v>
      </c>
    </row>
    <row r="326" spans="1:1" x14ac:dyDescent="0.25">
      <c r="A326" s="2">
        <v>157</v>
      </c>
    </row>
    <row r="327" spans="1:1" x14ac:dyDescent="0.25">
      <c r="A327" s="2">
        <v>137</v>
      </c>
    </row>
    <row r="328" spans="1:1" x14ac:dyDescent="0.25">
      <c r="A328" s="2">
        <v>140</v>
      </c>
    </row>
    <row r="329" spans="1:1" x14ac:dyDescent="0.25">
      <c r="A329" s="2">
        <v>137</v>
      </c>
    </row>
    <row r="330" spans="1:1" x14ac:dyDescent="0.25">
      <c r="A330" s="2">
        <v>384</v>
      </c>
    </row>
    <row r="331" spans="1:1" x14ac:dyDescent="0.25">
      <c r="A331" s="2">
        <v>335</v>
      </c>
    </row>
    <row r="332" spans="1:1" x14ac:dyDescent="0.25">
      <c r="A332" s="2">
        <v>145</v>
      </c>
    </row>
    <row r="333" spans="1:1" x14ac:dyDescent="0.25">
      <c r="A333" s="2">
        <v>145</v>
      </c>
    </row>
    <row r="334" spans="1:1" x14ac:dyDescent="0.25">
      <c r="A334" s="2">
        <v>516</v>
      </c>
    </row>
    <row r="335" spans="1:1" x14ac:dyDescent="0.25">
      <c r="A335" s="2">
        <v>388</v>
      </c>
    </row>
    <row r="336" spans="1:1" x14ac:dyDescent="0.25">
      <c r="A336" s="2">
        <v>142</v>
      </c>
    </row>
    <row r="337" spans="1:1" x14ac:dyDescent="0.25">
      <c r="A337" s="2">
        <v>182</v>
      </c>
    </row>
    <row r="338" spans="1:1" x14ac:dyDescent="0.25">
      <c r="A338" s="2">
        <v>145</v>
      </c>
    </row>
    <row r="339" spans="1:1" x14ac:dyDescent="0.25">
      <c r="A339" s="2">
        <v>155</v>
      </c>
    </row>
    <row r="340" spans="1:1" x14ac:dyDescent="0.25">
      <c r="A340" s="2">
        <v>349</v>
      </c>
    </row>
    <row r="341" spans="1:1" x14ac:dyDescent="0.25">
      <c r="A341" s="2">
        <v>349</v>
      </c>
    </row>
    <row r="342" spans="1:1" x14ac:dyDescent="0.25">
      <c r="A342" s="2">
        <v>150</v>
      </c>
    </row>
    <row r="343" spans="1:1" x14ac:dyDescent="0.25">
      <c r="A343" s="2">
        <v>144</v>
      </c>
    </row>
    <row r="344" spans="1:1" x14ac:dyDescent="0.25">
      <c r="A344" s="2">
        <v>424</v>
      </c>
    </row>
    <row r="345" spans="1:1" x14ac:dyDescent="0.25">
      <c r="A345" s="2">
        <v>359</v>
      </c>
    </row>
    <row r="346" spans="1:1" x14ac:dyDescent="0.25">
      <c r="A346" s="2">
        <v>144</v>
      </c>
    </row>
    <row r="347" spans="1:1" x14ac:dyDescent="0.25">
      <c r="A347" s="2">
        <v>137</v>
      </c>
    </row>
    <row r="348" spans="1:1" x14ac:dyDescent="0.25">
      <c r="A348" s="2">
        <v>250</v>
      </c>
    </row>
    <row r="349" spans="1:1" x14ac:dyDescent="0.25">
      <c r="A349" s="2">
        <v>145</v>
      </c>
    </row>
    <row r="350" spans="1:1" x14ac:dyDescent="0.25">
      <c r="A350" s="2">
        <v>335</v>
      </c>
    </row>
    <row r="351" spans="1:1" x14ac:dyDescent="0.25">
      <c r="A351" s="2">
        <v>426</v>
      </c>
    </row>
    <row r="352" spans="1:1" x14ac:dyDescent="0.25">
      <c r="A352" s="2">
        <v>160</v>
      </c>
    </row>
    <row r="353" spans="1:1" x14ac:dyDescent="0.25">
      <c r="A353" s="2">
        <v>169</v>
      </c>
    </row>
    <row r="354" spans="1:1" x14ac:dyDescent="0.25">
      <c r="A354" s="2">
        <v>335</v>
      </c>
    </row>
    <row r="355" spans="1:1" x14ac:dyDescent="0.25">
      <c r="A355" s="2">
        <v>335</v>
      </c>
    </row>
    <row r="356" spans="1:1" x14ac:dyDescent="0.25">
      <c r="A356" s="2">
        <v>297</v>
      </c>
    </row>
    <row r="357" spans="1:1" x14ac:dyDescent="0.25">
      <c r="A357" s="2">
        <v>145</v>
      </c>
    </row>
    <row r="358" spans="1:1" x14ac:dyDescent="0.25">
      <c r="A358" s="2">
        <v>198</v>
      </c>
    </row>
    <row r="359" spans="1:1" x14ac:dyDescent="0.25">
      <c r="A359" s="2">
        <v>145</v>
      </c>
    </row>
    <row r="360" spans="1:1" x14ac:dyDescent="0.25">
      <c r="A360" s="2">
        <v>331</v>
      </c>
    </row>
    <row r="361" spans="1:1" x14ac:dyDescent="0.25">
      <c r="A361" s="2">
        <v>325</v>
      </c>
    </row>
    <row r="362" spans="1:1" x14ac:dyDescent="0.25">
      <c r="A362" s="2">
        <v>145</v>
      </c>
    </row>
    <row r="363" spans="1:1" x14ac:dyDescent="0.25">
      <c r="A363" s="2">
        <v>140</v>
      </c>
    </row>
    <row r="364" spans="1:1" x14ac:dyDescent="0.25">
      <c r="A364" s="2">
        <v>349</v>
      </c>
    </row>
    <row r="365" spans="1:1" x14ac:dyDescent="0.25">
      <c r="A365" s="2">
        <v>384</v>
      </c>
    </row>
    <row r="366" spans="1:1" x14ac:dyDescent="0.25">
      <c r="A366" s="2">
        <v>145</v>
      </c>
    </row>
    <row r="367" spans="1:1" x14ac:dyDescent="0.25">
      <c r="A367" s="2">
        <v>212</v>
      </c>
    </row>
    <row r="368" spans="1:1" x14ac:dyDescent="0.25">
      <c r="A368" s="2">
        <v>160</v>
      </c>
    </row>
    <row r="369" spans="1:1" x14ac:dyDescent="0.25">
      <c r="A369" s="2">
        <v>145</v>
      </c>
    </row>
    <row r="370" spans="1:1" x14ac:dyDescent="0.25">
      <c r="A370" s="2">
        <v>335</v>
      </c>
    </row>
    <row r="371" spans="1:1" x14ac:dyDescent="0.25">
      <c r="A371" s="2">
        <v>516</v>
      </c>
    </row>
    <row r="372" spans="1:1" x14ac:dyDescent="0.25">
      <c r="A372" s="2">
        <v>145</v>
      </c>
    </row>
    <row r="373" spans="1:1" x14ac:dyDescent="0.25">
      <c r="A373" s="2">
        <v>177</v>
      </c>
    </row>
    <row r="374" spans="1:1" x14ac:dyDescent="0.25">
      <c r="A374" s="2">
        <v>388</v>
      </c>
    </row>
    <row r="375" spans="1:1" x14ac:dyDescent="0.25">
      <c r="A375" s="2">
        <v>349</v>
      </c>
    </row>
    <row r="376" spans="1:1" x14ac:dyDescent="0.25">
      <c r="A376" s="2">
        <v>300</v>
      </c>
    </row>
    <row r="377" spans="1:1" x14ac:dyDescent="0.25">
      <c r="A377" s="2">
        <v>120</v>
      </c>
    </row>
    <row r="378" spans="1:1" x14ac:dyDescent="0.25">
      <c r="A378" s="2">
        <v>177</v>
      </c>
    </row>
    <row r="379" spans="1:1" x14ac:dyDescent="0.25">
      <c r="A379" s="2">
        <v>145</v>
      </c>
    </row>
    <row r="380" spans="1:1" x14ac:dyDescent="0.25">
      <c r="A380" s="2">
        <v>349</v>
      </c>
    </row>
    <row r="381" spans="1:1" x14ac:dyDescent="0.25">
      <c r="A381" s="2">
        <v>424</v>
      </c>
    </row>
    <row r="382" spans="1:1" x14ac:dyDescent="0.25">
      <c r="A382" s="2">
        <v>135</v>
      </c>
    </row>
    <row r="383" spans="1:1" x14ac:dyDescent="0.25">
      <c r="A383" s="2">
        <v>135</v>
      </c>
    </row>
    <row r="384" spans="1:1" x14ac:dyDescent="0.25">
      <c r="A384" s="2">
        <v>359</v>
      </c>
    </row>
    <row r="385" spans="1:1" x14ac:dyDescent="0.25">
      <c r="A385" s="2">
        <v>335</v>
      </c>
    </row>
    <row r="386" spans="1:1" x14ac:dyDescent="0.25">
      <c r="A386" s="2">
        <v>286</v>
      </c>
    </row>
    <row r="387" spans="1:1" x14ac:dyDescent="0.25">
      <c r="A387" s="2">
        <v>142</v>
      </c>
    </row>
    <row r="388" spans="1:1" x14ac:dyDescent="0.25">
      <c r="A388" s="2">
        <v>283</v>
      </c>
    </row>
    <row r="389" spans="1:1" x14ac:dyDescent="0.25">
      <c r="A389" s="2">
        <v>147</v>
      </c>
    </row>
    <row r="390" spans="1:1" x14ac:dyDescent="0.25">
      <c r="A390" s="2">
        <v>426</v>
      </c>
    </row>
    <row r="391" spans="1:1" x14ac:dyDescent="0.25">
      <c r="A391" s="2">
        <v>335</v>
      </c>
    </row>
    <row r="392" spans="1:1" x14ac:dyDescent="0.25">
      <c r="A392" s="2">
        <v>179</v>
      </c>
    </row>
    <row r="393" spans="1:1" x14ac:dyDescent="0.25">
      <c r="A393" s="2">
        <v>144</v>
      </c>
    </row>
    <row r="394" spans="1:1" x14ac:dyDescent="0.25">
      <c r="A394" s="2">
        <v>283</v>
      </c>
    </row>
    <row r="395" spans="1:1" x14ac:dyDescent="0.25">
      <c r="A395" s="2">
        <v>139</v>
      </c>
    </row>
    <row r="396" spans="1:1" x14ac:dyDescent="0.25">
      <c r="A396" s="2">
        <v>335</v>
      </c>
    </row>
    <row r="397" spans="1:1" x14ac:dyDescent="0.25">
      <c r="A397" s="2">
        <v>135</v>
      </c>
    </row>
    <row r="398" spans="1:1" x14ac:dyDescent="0.25">
      <c r="A398" s="2">
        <v>142</v>
      </c>
    </row>
    <row r="399" spans="1:1" x14ac:dyDescent="0.25">
      <c r="A399" s="2">
        <v>167</v>
      </c>
    </row>
    <row r="400" spans="1:1" x14ac:dyDescent="0.25">
      <c r="A400" s="2">
        <v>331</v>
      </c>
    </row>
    <row r="401" spans="1:1" x14ac:dyDescent="0.25">
      <c r="A401" s="2">
        <v>325</v>
      </c>
    </row>
    <row r="402" spans="1:1" x14ac:dyDescent="0.25">
      <c r="A402" s="2">
        <v>145</v>
      </c>
    </row>
    <row r="403" spans="1:1" x14ac:dyDescent="0.25">
      <c r="A403" s="2">
        <v>140</v>
      </c>
    </row>
    <row r="404" spans="1:1" x14ac:dyDescent="0.25">
      <c r="A404" s="2">
        <v>349</v>
      </c>
    </row>
    <row r="405" spans="1:1" x14ac:dyDescent="0.25">
      <c r="A405" s="2">
        <v>384</v>
      </c>
    </row>
    <row r="406" spans="1:1" x14ac:dyDescent="0.25">
      <c r="A406" s="2">
        <v>145</v>
      </c>
    </row>
    <row r="407" spans="1:1" x14ac:dyDescent="0.25">
      <c r="A407" s="2">
        <v>220</v>
      </c>
    </row>
    <row r="408" spans="1:1" x14ac:dyDescent="0.25">
      <c r="A408" s="2">
        <v>160</v>
      </c>
    </row>
    <row r="409" spans="1:1" x14ac:dyDescent="0.25">
      <c r="A409" s="2">
        <v>145</v>
      </c>
    </row>
    <row r="410" spans="1:1" x14ac:dyDescent="0.25">
      <c r="A410" s="2">
        <v>335</v>
      </c>
    </row>
    <row r="411" spans="1:1" x14ac:dyDescent="0.25">
      <c r="A411" s="2">
        <v>516</v>
      </c>
    </row>
    <row r="412" spans="1:1" x14ac:dyDescent="0.25">
      <c r="A412" s="2">
        <v>145</v>
      </c>
    </row>
    <row r="413" spans="1:1" x14ac:dyDescent="0.25">
      <c r="A413" s="2">
        <v>212</v>
      </c>
    </row>
    <row r="414" spans="1:1" x14ac:dyDescent="0.25">
      <c r="A414" s="2">
        <v>388</v>
      </c>
    </row>
    <row r="415" spans="1:1" x14ac:dyDescent="0.25">
      <c r="A415" s="2">
        <v>349</v>
      </c>
    </row>
    <row r="416" spans="1:1" x14ac:dyDescent="0.25">
      <c r="A416" s="2">
        <v>300</v>
      </c>
    </row>
    <row r="417" spans="1:1" x14ac:dyDescent="0.25">
      <c r="A417" s="2">
        <v>120</v>
      </c>
    </row>
    <row r="418" spans="1:1" x14ac:dyDescent="0.25">
      <c r="A418" s="2">
        <v>177</v>
      </c>
    </row>
    <row r="419" spans="1:1" x14ac:dyDescent="0.25">
      <c r="A419" s="2">
        <v>145</v>
      </c>
    </row>
    <row r="420" spans="1:1" x14ac:dyDescent="0.25">
      <c r="A420" s="2">
        <v>349</v>
      </c>
    </row>
    <row r="421" spans="1:1" x14ac:dyDescent="0.25">
      <c r="A421" s="2">
        <v>424</v>
      </c>
    </row>
    <row r="422" spans="1:1" x14ac:dyDescent="0.25">
      <c r="A422" s="2">
        <v>135</v>
      </c>
    </row>
    <row r="423" spans="1:1" x14ac:dyDescent="0.25">
      <c r="A423" s="2">
        <v>135</v>
      </c>
    </row>
    <row r="424" spans="1:1" x14ac:dyDescent="0.25">
      <c r="A424" s="2">
        <v>359</v>
      </c>
    </row>
    <row r="425" spans="1:1" x14ac:dyDescent="0.25">
      <c r="A425" s="2">
        <v>335</v>
      </c>
    </row>
    <row r="426" spans="1:1" x14ac:dyDescent="0.25">
      <c r="A426" s="2">
        <v>286</v>
      </c>
    </row>
    <row r="427" spans="1:1" x14ac:dyDescent="0.25">
      <c r="A427" s="2">
        <v>142</v>
      </c>
    </row>
    <row r="428" spans="1:1" x14ac:dyDescent="0.25">
      <c r="A428" s="2">
        <v>283</v>
      </c>
    </row>
    <row r="429" spans="1:1" x14ac:dyDescent="0.25">
      <c r="A429" s="2">
        <v>147</v>
      </c>
    </row>
    <row r="430" spans="1:1" x14ac:dyDescent="0.25">
      <c r="A430" s="2">
        <v>426</v>
      </c>
    </row>
    <row r="431" spans="1:1" x14ac:dyDescent="0.25">
      <c r="A431" s="2">
        <v>335</v>
      </c>
    </row>
    <row r="432" spans="1:1" x14ac:dyDescent="0.25">
      <c r="A432" s="2">
        <v>179</v>
      </c>
    </row>
    <row r="433" spans="1:11" x14ac:dyDescent="0.25">
      <c r="A433" s="2">
        <v>144</v>
      </c>
    </row>
    <row r="434" spans="1:11" x14ac:dyDescent="0.25">
      <c r="A434" s="2">
        <v>283</v>
      </c>
    </row>
    <row r="435" spans="1:11" x14ac:dyDescent="0.25">
      <c r="A435" s="2">
        <v>139</v>
      </c>
    </row>
    <row r="436" spans="1:11" x14ac:dyDescent="0.25">
      <c r="A436" s="2">
        <v>335</v>
      </c>
    </row>
    <row r="437" spans="1:11" x14ac:dyDescent="0.25">
      <c r="A437" s="2">
        <v>135</v>
      </c>
    </row>
    <row r="438" spans="1:11" x14ac:dyDescent="0.25">
      <c r="A438" s="2">
        <v>142</v>
      </c>
    </row>
    <row r="439" spans="1:11" x14ac:dyDescent="0.25">
      <c r="A439" s="2">
        <v>167</v>
      </c>
    </row>
    <row r="440" spans="1:11" x14ac:dyDescent="0.25">
      <c r="A440" s="2">
        <v>331</v>
      </c>
    </row>
    <row r="441" spans="1:11" x14ac:dyDescent="0.25">
      <c r="A441" s="2">
        <v>325</v>
      </c>
    </row>
    <row r="447" spans="1:11" ht="16.5" thickBot="1" x14ac:dyDescent="0.3"/>
    <row r="448" spans="1:11" x14ac:dyDescent="0.25">
      <c r="J448" s="13" t="s">
        <v>1191</v>
      </c>
      <c r="K448" s="13"/>
    </row>
    <row r="449" spans="10:11" x14ac:dyDescent="0.25">
      <c r="J449" s="11"/>
      <c r="K449" s="11"/>
    </row>
    <row r="450" spans="10:11" x14ac:dyDescent="0.25">
      <c r="J450" s="11" t="s">
        <v>1192</v>
      </c>
      <c r="K450" s="11">
        <v>253.81818181818181</v>
      </c>
    </row>
    <row r="451" spans="10:11" x14ac:dyDescent="0.25">
      <c r="J451" s="11" t="s">
        <v>1193</v>
      </c>
      <c r="K451" s="11">
        <v>5.7963843309069336</v>
      </c>
    </row>
    <row r="452" spans="10:11" x14ac:dyDescent="0.25">
      <c r="J452" s="11" t="s">
        <v>1194</v>
      </c>
      <c r="K452" s="11">
        <v>201.5</v>
      </c>
    </row>
    <row r="453" spans="10:11" x14ac:dyDescent="0.25">
      <c r="J453" s="11" t="s">
        <v>1195</v>
      </c>
      <c r="K453" s="11">
        <v>335</v>
      </c>
    </row>
    <row r="454" spans="10:11" x14ac:dyDescent="0.25">
      <c r="J454" s="11" t="s">
        <v>1196</v>
      </c>
      <c r="K454" s="11">
        <v>121.58598347300031</v>
      </c>
    </row>
    <row r="455" spans="10:11" x14ac:dyDescent="0.25">
      <c r="J455" s="11" t="s">
        <v>1197</v>
      </c>
      <c r="K455" s="11">
        <v>14783.151377096705</v>
      </c>
    </row>
    <row r="456" spans="10:11" x14ac:dyDescent="0.25">
      <c r="J456" s="11" t="s">
        <v>1198</v>
      </c>
      <c r="K456" s="11">
        <v>4.9566655659237018</v>
      </c>
    </row>
    <row r="457" spans="10:11" x14ac:dyDescent="0.25">
      <c r="J457" s="11" t="s">
        <v>1199</v>
      </c>
      <c r="K457" s="11">
        <v>1.3799575978331422</v>
      </c>
    </row>
    <row r="458" spans="10:11" x14ac:dyDescent="0.25">
      <c r="J458" s="11" t="s">
        <v>1200</v>
      </c>
      <c r="K458" s="11">
        <v>895</v>
      </c>
    </row>
    <row r="459" spans="10:11" x14ac:dyDescent="0.25">
      <c r="J459" s="11" t="s">
        <v>1201</v>
      </c>
      <c r="K459" s="11">
        <v>116</v>
      </c>
    </row>
    <row r="460" spans="10:11" x14ac:dyDescent="0.25">
      <c r="J460" s="11" t="s">
        <v>1202</v>
      </c>
      <c r="K460" s="11">
        <v>1011</v>
      </c>
    </row>
    <row r="461" spans="10:11" x14ac:dyDescent="0.25">
      <c r="J461" s="11" t="s">
        <v>1203</v>
      </c>
      <c r="K461" s="11">
        <v>111680</v>
      </c>
    </row>
    <row r="462" spans="10:11" ht="16.5" thickBot="1" x14ac:dyDescent="0.3">
      <c r="J462" s="12" t="s">
        <v>1204</v>
      </c>
      <c r="K462" s="12">
        <v>440</v>
      </c>
    </row>
  </sheetData>
  <mergeCells count="1">
    <mergeCell ref="G15:H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3C82-85B1-472A-B34F-A764A2BD312C}">
  <dimension ref="A1:D441"/>
  <sheetViews>
    <sheetView zoomScale="54" workbookViewId="0">
      <selection activeCell="C12" sqref="C12"/>
    </sheetView>
  </sheetViews>
  <sheetFormatPr defaultRowHeight="15.75" x14ac:dyDescent="0.25"/>
  <cols>
    <col min="3" max="3" width="22" bestFit="1" customWidth="1"/>
    <col min="4" max="4" width="13.75" bestFit="1" customWidth="1"/>
  </cols>
  <sheetData>
    <row r="1" spans="1:4" x14ac:dyDescent="0.25">
      <c r="A1" s="1" t="s">
        <v>3</v>
      </c>
    </row>
    <row r="2" spans="1:4" x14ac:dyDescent="0.25">
      <c r="A2" s="4">
        <v>0.5</v>
      </c>
    </row>
    <row r="3" spans="1:4" x14ac:dyDescent="0.25">
      <c r="A3" s="4">
        <v>0.42</v>
      </c>
    </row>
    <row r="4" spans="1:4" x14ac:dyDescent="0.25">
      <c r="A4" s="4">
        <v>0.14000000000000001</v>
      </c>
    </row>
    <row r="5" spans="1:4" x14ac:dyDescent="0.25">
      <c r="A5" s="4">
        <v>0.22</v>
      </c>
    </row>
    <row r="6" spans="1:4" x14ac:dyDescent="0.25">
      <c r="A6" s="4">
        <v>0.69</v>
      </c>
    </row>
    <row r="7" spans="1:4" x14ac:dyDescent="0.25">
      <c r="A7" s="4">
        <v>0.66</v>
      </c>
    </row>
    <row r="8" spans="1:4" x14ac:dyDescent="0.25">
      <c r="A8" s="4">
        <v>0.83</v>
      </c>
    </row>
    <row r="9" spans="1:4" x14ac:dyDescent="0.25">
      <c r="A9" s="4">
        <v>0.48</v>
      </c>
    </row>
    <row r="10" spans="1:4" x14ac:dyDescent="0.25">
      <c r="A10" s="4">
        <v>0.14000000000000001</v>
      </c>
    </row>
    <row r="11" spans="1:4" ht="16.5" thickBot="1" x14ac:dyDescent="0.3">
      <c r="A11" s="4">
        <v>0.32</v>
      </c>
    </row>
    <row r="12" spans="1:4" x14ac:dyDescent="0.25">
      <c r="A12" s="4">
        <v>0.66</v>
      </c>
      <c r="C12" s="15" t="s">
        <v>3</v>
      </c>
      <c r="D12" s="13"/>
    </row>
    <row r="13" spans="1:4" x14ac:dyDescent="0.25">
      <c r="A13" s="4">
        <v>0.89</v>
      </c>
      <c r="C13" s="11"/>
      <c r="D13" s="11"/>
    </row>
    <row r="14" spans="1:4" x14ac:dyDescent="0.25">
      <c r="A14" s="4">
        <v>0.31</v>
      </c>
      <c r="C14" s="11" t="s">
        <v>1192</v>
      </c>
      <c r="D14" s="11">
        <v>0.46118181818181742</v>
      </c>
    </row>
    <row r="15" spans="1:4" x14ac:dyDescent="0.25">
      <c r="A15" s="4">
        <v>0.28999999999999998</v>
      </c>
      <c r="C15" s="11" t="s">
        <v>1193</v>
      </c>
      <c r="D15" s="11">
        <v>1.1153865024427733E-2</v>
      </c>
    </row>
    <row r="16" spans="1:4" x14ac:dyDescent="0.25">
      <c r="A16" s="4">
        <v>0.88</v>
      </c>
      <c r="C16" s="11" t="s">
        <v>1194</v>
      </c>
      <c r="D16" s="11">
        <v>0.48</v>
      </c>
    </row>
    <row r="17" spans="1:4" x14ac:dyDescent="0.25">
      <c r="A17" s="4">
        <v>0.55000000000000004</v>
      </c>
      <c r="C17" s="11" t="s">
        <v>1195</v>
      </c>
      <c r="D17" s="11">
        <v>0.22</v>
      </c>
    </row>
    <row r="18" spans="1:4" x14ac:dyDescent="0.25">
      <c r="A18" s="4">
        <v>0.71</v>
      </c>
      <c r="C18" s="11" t="s">
        <v>1196</v>
      </c>
      <c r="D18" s="11">
        <v>0.23396544657830778</v>
      </c>
    </row>
    <row r="19" spans="1:4" x14ac:dyDescent="0.25">
      <c r="A19" s="4">
        <v>0.76</v>
      </c>
      <c r="C19" s="11" t="s">
        <v>1197</v>
      </c>
      <c r="D19" s="11">
        <v>5.4739830192586998E-2</v>
      </c>
    </row>
    <row r="20" spans="1:4" x14ac:dyDescent="0.25">
      <c r="A20" s="4">
        <v>0.22</v>
      </c>
      <c r="C20" s="11" t="s">
        <v>1198</v>
      </c>
      <c r="D20" s="11">
        <v>-1.3745741172052606</v>
      </c>
    </row>
    <row r="21" spans="1:4" x14ac:dyDescent="0.25">
      <c r="A21" s="4">
        <v>0.22</v>
      </c>
      <c r="C21" s="11" t="s">
        <v>1199</v>
      </c>
      <c r="D21" s="11">
        <v>4.7460763206700028E-2</v>
      </c>
    </row>
    <row r="22" spans="1:4" x14ac:dyDescent="0.25">
      <c r="A22" s="4">
        <v>0.28000000000000003</v>
      </c>
      <c r="C22" s="11" t="s">
        <v>1200</v>
      </c>
      <c r="D22" s="11">
        <v>0.84000000000000008</v>
      </c>
    </row>
    <row r="23" spans="1:4" x14ac:dyDescent="0.25">
      <c r="A23" s="4">
        <v>0.66</v>
      </c>
      <c r="C23" s="11" t="s">
        <v>1201</v>
      </c>
      <c r="D23" s="11">
        <v>0.06</v>
      </c>
    </row>
    <row r="24" spans="1:4" x14ac:dyDescent="0.25">
      <c r="A24" s="4">
        <v>0.15</v>
      </c>
      <c r="C24" s="11" t="s">
        <v>1202</v>
      </c>
      <c r="D24" s="11">
        <v>0.9</v>
      </c>
    </row>
    <row r="25" spans="1:4" x14ac:dyDescent="0.25">
      <c r="A25" s="4">
        <v>0.2</v>
      </c>
      <c r="C25" s="11" t="s">
        <v>1203</v>
      </c>
      <c r="D25" s="11">
        <v>202.91999999999967</v>
      </c>
    </row>
    <row r="26" spans="1:4" x14ac:dyDescent="0.25">
      <c r="A26" s="4">
        <v>0.37</v>
      </c>
      <c r="C26" s="11" t="s">
        <v>1204</v>
      </c>
      <c r="D26" s="11">
        <v>440</v>
      </c>
    </row>
    <row r="27" spans="1:4" ht="16.5" thickBot="1" x14ac:dyDescent="0.3">
      <c r="A27" s="4">
        <v>0.77</v>
      </c>
      <c r="C27" s="12" t="s">
        <v>1205</v>
      </c>
      <c r="D27" s="12">
        <v>2.1921610760655685E-2</v>
      </c>
    </row>
    <row r="28" spans="1:4" x14ac:dyDescent="0.25">
      <c r="A28" s="4">
        <v>0.87</v>
      </c>
    </row>
    <row r="29" spans="1:4" x14ac:dyDescent="0.25">
      <c r="A29" s="4">
        <v>0.48</v>
      </c>
    </row>
    <row r="30" spans="1:4" x14ac:dyDescent="0.25">
      <c r="A30" s="4">
        <v>0.25</v>
      </c>
    </row>
    <row r="31" spans="1:4" x14ac:dyDescent="0.25">
      <c r="A31" s="4">
        <v>0.14000000000000001</v>
      </c>
    </row>
    <row r="32" spans="1:4" x14ac:dyDescent="0.25">
      <c r="A32" s="4">
        <v>0.68</v>
      </c>
    </row>
    <row r="33" spans="1:1" x14ac:dyDescent="0.25">
      <c r="A33" s="4">
        <v>0.83</v>
      </c>
    </row>
    <row r="34" spans="1:1" x14ac:dyDescent="0.25">
      <c r="A34" s="4">
        <v>0.32</v>
      </c>
    </row>
    <row r="35" spans="1:1" x14ac:dyDescent="0.25">
      <c r="A35" s="4">
        <v>0.24</v>
      </c>
    </row>
    <row r="36" spans="1:1" x14ac:dyDescent="0.25">
      <c r="A36" s="4">
        <v>0.89</v>
      </c>
    </row>
    <row r="37" spans="1:1" x14ac:dyDescent="0.25">
      <c r="A37" s="4">
        <v>0.66</v>
      </c>
    </row>
    <row r="38" spans="1:1" x14ac:dyDescent="0.25">
      <c r="A38" s="4">
        <v>0.49</v>
      </c>
    </row>
    <row r="39" spans="1:1" x14ac:dyDescent="0.25">
      <c r="A39" s="4">
        <v>0.41</v>
      </c>
    </row>
    <row r="40" spans="1:1" x14ac:dyDescent="0.25">
      <c r="A40" s="4">
        <v>0.33</v>
      </c>
    </row>
    <row r="41" spans="1:1" x14ac:dyDescent="0.25">
      <c r="A41" s="4">
        <v>0.06</v>
      </c>
    </row>
    <row r="42" spans="1:1" x14ac:dyDescent="0.25">
      <c r="A42" s="4">
        <v>0.7</v>
      </c>
    </row>
    <row r="43" spans="1:1" x14ac:dyDescent="0.25">
      <c r="A43" s="4">
        <v>0.49</v>
      </c>
    </row>
    <row r="44" spans="1:1" x14ac:dyDescent="0.25">
      <c r="A44" s="4">
        <v>0.14000000000000001</v>
      </c>
    </row>
    <row r="45" spans="1:1" x14ac:dyDescent="0.25">
      <c r="A45" s="4">
        <v>0.22</v>
      </c>
    </row>
    <row r="46" spans="1:1" x14ac:dyDescent="0.25">
      <c r="A46" s="4">
        <v>0.43</v>
      </c>
    </row>
    <row r="47" spans="1:1" x14ac:dyDescent="0.25">
      <c r="A47" s="4">
        <v>0.7</v>
      </c>
    </row>
    <row r="48" spans="1:1" x14ac:dyDescent="0.25">
      <c r="A48" s="4">
        <v>0.43</v>
      </c>
    </row>
    <row r="49" spans="1:1" x14ac:dyDescent="0.25">
      <c r="A49" s="4">
        <v>0.37</v>
      </c>
    </row>
    <row r="50" spans="1:1" x14ac:dyDescent="0.25">
      <c r="A50" s="4">
        <v>0.14000000000000001</v>
      </c>
    </row>
    <row r="51" spans="1:1" x14ac:dyDescent="0.25">
      <c r="A51" s="4">
        <v>0.32</v>
      </c>
    </row>
    <row r="52" spans="1:1" x14ac:dyDescent="0.25">
      <c r="A52" s="4">
        <v>0.89</v>
      </c>
    </row>
    <row r="53" spans="1:1" x14ac:dyDescent="0.25">
      <c r="A53" s="4">
        <v>0.73</v>
      </c>
    </row>
    <row r="54" spans="1:1" x14ac:dyDescent="0.25">
      <c r="A54" s="4">
        <v>0.31</v>
      </c>
    </row>
    <row r="55" spans="1:1" x14ac:dyDescent="0.25">
      <c r="A55" s="4">
        <v>0.28999999999999998</v>
      </c>
    </row>
    <row r="56" spans="1:1" x14ac:dyDescent="0.25">
      <c r="A56" s="4">
        <v>0.45</v>
      </c>
    </row>
    <row r="57" spans="1:1" x14ac:dyDescent="0.25">
      <c r="A57" s="4">
        <v>0.71</v>
      </c>
    </row>
    <row r="58" spans="1:1" x14ac:dyDescent="0.25">
      <c r="A58" s="4">
        <v>0.51</v>
      </c>
    </row>
    <row r="59" spans="1:1" x14ac:dyDescent="0.25">
      <c r="A59" s="4">
        <v>0.57999999999999996</v>
      </c>
    </row>
    <row r="60" spans="1:1" x14ac:dyDescent="0.25">
      <c r="A60" s="4">
        <v>0.22</v>
      </c>
    </row>
    <row r="61" spans="1:1" x14ac:dyDescent="0.25">
      <c r="A61" s="4">
        <v>0.22</v>
      </c>
    </row>
    <row r="62" spans="1:1" x14ac:dyDescent="0.25">
      <c r="A62" s="4">
        <v>0.48</v>
      </c>
    </row>
    <row r="63" spans="1:1" x14ac:dyDescent="0.25">
      <c r="A63" s="4">
        <v>0.88</v>
      </c>
    </row>
    <row r="64" spans="1:1" x14ac:dyDescent="0.25">
      <c r="A64" s="4">
        <v>0.15</v>
      </c>
    </row>
    <row r="65" spans="1:1" x14ac:dyDescent="0.25">
      <c r="A65" s="4">
        <v>0.2</v>
      </c>
    </row>
    <row r="66" spans="1:1" x14ac:dyDescent="0.25">
      <c r="A66" s="4">
        <v>0.5</v>
      </c>
    </row>
    <row r="67" spans="1:1" x14ac:dyDescent="0.25">
      <c r="A67" s="4">
        <v>0.49</v>
      </c>
    </row>
    <row r="68" spans="1:1" x14ac:dyDescent="0.25">
      <c r="A68" s="4">
        <v>0.66</v>
      </c>
    </row>
    <row r="69" spans="1:1" x14ac:dyDescent="0.25">
      <c r="A69" s="4">
        <v>0.25</v>
      </c>
    </row>
    <row r="70" spans="1:1" x14ac:dyDescent="0.25">
      <c r="A70" s="4">
        <v>0.25</v>
      </c>
    </row>
    <row r="71" spans="1:1" x14ac:dyDescent="0.25">
      <c r="A71" s="4">
        <v>0.14000000000000001</v>
      </c>
    </row>
    <row r="72" spans="1:1" x14ac:dyDescent="0.25">
      <c r="A72" s="4">
        <v>0.59</v>
      </c>
    </row>
    <row r="73" spans="1:1" x14ac:dyDescent="0.25">
      <c r="A73" s="4">
        <v>0.3</v>
      </c>
    </row>
    <row r="74" spans="1:1" x14ac:dyDescent="0.25">
      <c r="A74" s="4">
        <v>0.32</v>
      </c>
    </row>
    <row r="75" spans="1:1" x14ac:dyDescent="0.25">
      <c r="A75" s="4">
        <v>0.24</v>
      </c>
    </row>
    <row r="76" spans="1:1" x14ac:dyDescent="0.25">
      <c r="A76" s="4">
        <v>0.88</v>
      </c>
    </row>
    <row r="77" spans="1:1" x14ac:dyDescent="0.25">
      <c r="A77" s="4">
        <v>0.48</v>
      </c>
    </row>
    <row r="78" spans="1:1" x14ac:dyDescent="0.25">
      <c r="A78" s="4">
        <v>0.5</v>
      </c>
    </row>
    <row r="79" spans="1:1" x14ac:dyDescent="0.25">
      <c r="A79" s="4">
        <v>0.25</v>
      </c>
    </row>
    <row r="80" spans="1:1" x14ac:dyDescent="0.25">
      <c r="A80" s="4">
        <v>0.33</v>
      </c>
    </row>
    <row r="81" spans="1:1" x14ac:dyDescent="0.25">
      <c r="A81" s="4">
        <v>0.06</v>
      </c>
    </row>
    <row r="82" spans="1:1" x14ac:dyDescent="0.25">
      <c r="A82" s="4">
        <v>0.66</v>
      </c>
    </row>
    <row r="83" spans="1:1" x14ac:dyDescent="0.25">
      <c r="A83" s="4">
        <v>0.83</v>
      </c>
    </row>
    <row r="84" spans="1:1" x14ac:dyDescent="0.25">
      <c r="A84" s="4">
        <v>0.14000000000000001</v>
      </c>
    </row>
    <row r="85" spans="1:1" x14ac:dyDescent="0.25">
      <c r="A85" s="4">
        <v>0.22</v>
      </c>
    </row>
    <row r="86" spans="1:1" x14ac:dyDescent="0.25">
      <c r="A86" s="4">
        <v>0.86</v>
      </c>
    </row>
    <row r="87" spans="1:1" x14ac:dyDescent="0.25">
      <c r="A87" s="4">
        <v>0.78</v>
      </c>
    </row>
    <row r="88" spans="1:1" x14ac:dyDescent="0.25">
      <c r="A88" s="4">
        <v>0.75</v>
      </c>
    </row>
    <row r="89" spans="1:1" x14ac:dyDescent="0.25">
      <c r="A89" s="4">
        <v>0.54</v>
      </c>
    </row>
    <row r="90" spans="1:1" x14ac:dyDescent="0.25">
      <c r="A90" s="4">
        <v>0.14000000000000001</v>
      </c>
    </row>
    <row r="91" spans="1:1" x14ac:dyDescent="0.25">
      <c r="A91" s="4">
        <v>0.32</v>
      </c>
    </row>
    <row r="92" spans="1:1" x14ac:dyDescent="0.25">
      <c r="A92" s="4">
        <v>0.77</v>
      </c>
    </row>
    <row r="93" spans="1:1" x14ac:dyDescent="0.25">
      <c r="A93" s="4">
        <v>0.44</v>
      </c>
    </row>
    <row r="94" spans="1:1" x14ac:dyDescent="0.25">
      <c r="A94" s="4">
        <v>0.31</v>
      </c>
    </row>
    <row r="95" spans="1:1" x14ac:dyDescent="0.25">
      <c r="A95" s="4">
        <v>0.28999999999999998</v>
      </c>
    </row>
    <row r="96" spans="1:1" x14ac:dyDescent="0.25">
      <c r="A96" s="4">
        <v>0.64</v>
      </c>
    </row>
    <row r="97" spans="1:1" x14ac:dyDescent="0.25">
      <c r="A97" s="4">
        <v>0.5</v>
      </c>
    </row>
    <row r="98" spans="1:1" x14ac:dyDescent="0.25">
      <c r="A98" s="4">
        <v>0.26</v>
      </c>
    </row>
    <row r="99" spans="1:1" x14ac:dyDescent="0.25">
      <c r="A99" s="4">
        <v>0.72</v>
      </c>
    </row>
    <row r="100" spans="1:1" x14ac:dyDescent="0.25">
      <c r="A100" s="4">
        <v>0.22</v>
      </c>
    </row>
    <row r="101" spans="1:1" x14ac:dyDescent="0.25">
      <c r="A101" s="4">
        <v>0.22</v>
      </c>
    </row>
    <row r="102" spans="1:1" x14ac:dyDescent="0.25">
      <c r="A102" s="4">
        <v>0.63</v>
      </c>
    </row>
    <row r="103" spans="1:1" x14ac:dyDescent="0.25">
      <c r="A103" s="4">
        <v>0.5</v>
      </c>
    </row>
    <row r="104" spans="1:1" x14ac:dyDescent="0.25">
      <c r="A104" s="4">
        <v>0.15</v>
      </c>
    </row>
    <row r="105" spans="1:1" x14ac:dyDescent="0.25">
      <c r="A105" s="4">
        <v>0.2</v>
      </c>
    </row>
    <row r="106" spans="1:1" x14ac:dyDescent="0.25">
      <c r="A106" s="4">
        <v>0.23</v>
      </c>
    </row>
    <row r="107" spans="1:1" x14ac:dyDescent="0.25">
      <c r="A107" s="4">
        <v>0.63</v>
      </c>
    </row>
    <row r="108" spans="1:1" x14ac:dyDescent="0.25">
      <c r="A108" s="4">
        <v>0.63</v>
      </c>
    </row>
    <row r="109" spans="1:1" x14ac:dyDescent="0.25">
      <c r="A109" s="4">
        <v>0.71</v>
      </c>
    </row>
    <row r="110" spans="1:1" x14ac:dyDescent="0.25">
      <c r="A110" s="4">
        <v>0.25</v>
      </c>
    </row>
    <row r="111" spans="1:1" x14ac:dyDescent="0.25">
      <c r="A111" s="4">
        <v>0.14000000000000001</v>
      </c>
    </row>
    <row r="112" spans="1:1" x14ac:dyDescent="0.25">
      <c r="A112" s="4">
        <v>0.65</v>
      </c>
    </row>
    <row r="113" spans="1:1" x14ac:dyDescent="0.25">
      <c r="A113" s="4">
        <v>0.73</v>
      </c>
    </row>
    <row r="114" spans="1:1" x14ac:dyDescent="0.25">
      <c r="A114" s="4">
        <v>0.32</v>
      </c>
    </row>
    <row r="115" spans="1:1" x14ac:dyDescent="0.25">
      <c r="A115" s="4">
        <v>0.24</v>
      </c>
    </row>
    <row r="116" spans="1:1" x14ac:dyDescent="0.25">
      <c r="A116" s="4">
        <v>0.43</v>
      </c>
    </row>
    <row r="117" spans="1:1" x14ac:dyDescent="0.25">
      <c r="A117" s="4">
        <v>0.82</v>
      </c>
    </row>
    <row r="118" spans="1:1" x14ac:dyDescent="0.25">
      <c r="A118" s="4">
        <v>0.81</v>
      </c>
    </row>
    <row r="119" spans="1:1" x14ac:dyDescent="0.25">
      <c r="A119" s="4">
        <v>0.56999999999999995</v>
      </c>
    </row>
    <row r="120" spans="1:1" x14ac:dyDescent="0.25">
      <c r="A120" s="4">
        <v>0.33</v>
      </c>
    </row>
    <row r="121" spans="1:1" x14ac:dyDescent="0.25">
      <c r="A121" s="4">
        <v>0.06</v>
      </c>
    </row>
    <row r="122" spans="1:1" x14ac:dyDescent="0.25">
      <c r="A122" s="4">
        <v>0.53</v>
      </c>
    </row>
    <row r="123" spans="1:1" x14ac:dyDescent="0.25">
      <c r="A123" s="4">
        <v>0.71</v>
      </c>
    </row>
    <row r="124" spans="1:1" x14ac:dyDescent="0.25">
      <c r="A124" s="4">
        <v>0.14000000000000001</v>
      </c>
    </row>
    <row r="125" spans="1:1" x14ac:dyDescent="0.25">
      <c r="A125" s="4">
        <v>0.22</v>
      </c>
    </row>
    <row r="126" spans="1:1" x14ac:dyDescent="0.25">
      <c r="A126" s="4">
        <v>0.77</v>
      </c>
    </row>
    <row r="127" spans="1:1" x14ac:dyDescent="0.25">
      <c r="A127" s="4">
        <v>0.47</v>
      </c>
    </row>
    <row r="128" spans="1:1" x14ac:dyDescent="0.25">
      <c r="A128" s="4">
        <v>0.47</v>
      </c>
    </row>
    <row r="129" spans="1:1" x14ac:dyDescent="0.25">
      <c r="A129" s="4">
        <v>0.74</v>
      </c>
    </row>
    <row r="130" spans="1:1" x14ac:dyDescent="0.25">
      <c r="A130" s="4">
        <v>0.14000000000000001</v>
      </c>
    </row>
    <row r="131" spans="1:1" x14ac:dyDescent="0.25">
      <c r="A131" s="4">
        <v>0.32</v>
      </c>
    </row>
    <row r="132" spans="1:1" x14ac:dyDescent="0.25">
      <c r="A132" s="4">
        <v>0.85</v>
      </c>
    </row>
    <row r="133" spans="1:1" x14ac:dyDescent="0.25">
      <c r="A133" s="4">
        <v>0.64</v>
      </c>
    </row>
    <row r="134" spans="1:1" x14ac:dyDescent="0.25">
      <c r="A134" s="4">
        <v>0.31</v>
      </c>
    </row>
    <row r="135" spans="1:1" x14ac:dyDescent="0.25">
      <c r="A135" s="4">
        <v>0.28999999999999998</v>
      </c>
    </row>
    <row r="136" spans="1:1" x14ac:dyDescent="0.25">
      <c r="A136" s="4">
        <v>0.51</v>
      </c>
    </row>
    <row r="137" spans="1:1" x14ac:dyDescent="0.25">
      <c r="A137" s="4">
        <v>0.71</v>
      </c>
    </row>
    <row r="138" spans="1:1" x14ac:dyDescent="0.25">
      <c r="A138" s="4">
        <v>0.63</v>
      </c>
    </row>
    <row r="139" spans="1:1" x14ac:dyDescent="0.25">
      <c r="A139" s="4">
        <v>0.77</v>
      </c>
    </row>
    <row r="140" spans="1:1" x14ac:dyDescent="0.25">
      <c r="A140" s="4">
        <v>0.22</v>
      </c>
    </row>
    <row r="141" spans="1:1" x14ac:dyDescent="0.25">
      <c r="A141" s="4">
        <v>0.22</v>
      </c>
    </row>
    <row r="142" spans="1:1" x14ac:dyDescent="0.25">
      <c r="A142" s="4">
        <v>0.71</v>
      </c>
    </row>
    <row r="143" spans="1:1" x14ac:dyDescent="0.25">
      <c r="A143" s="4">
        <v>0.69</v>
      </c>
    </row>
    <row r="144" spans="1:1" x14ac:dyDescent="0.25">
      <c r="A144" s="4">
        <v>0.15</v>
      </c>
    </row>
    <row r="145" spans="1:1" x14ac:dyDescent="0.25">
      <c r="A145" s="4">
        <v>0.2</v>
      </c>
    </row>
    <row r="146" spans="1:1" x14ac:dyDescent="0.25">
      <c r="A146" s="4">
        <v>0.44</v>
      </c>
    </row>
    <row r="147" spans="1:1" x14ac:dyDescent="0.25">
      <c r="A147" s="4">
        <v>0.87</v>
      </c>
    </row>
    <row r="148" spans="1:1" x14ac:dyDescent="0.25">
      <c r="A148" s="4">
        <v>0.75</v>
      </c>
    </row>
    <row r="149" spans="1:1" x14ac:dyDescent="0.25">
      <c r="A149" s="4">
        <v>0.81</v>
      </c>
    </row>
    <row r="150" spans="1:1" x14ac:dyDescent="0.25">
      <c r="A150" s="4">
        <v>0.25</v>
      </c>
    </row>
    <row r="151" spans="1:1" x14ac:dyDescent="0.25">
      <c r="A151" s="4">
        <v>0.14000000000000001</v>
      </c>
    </row>
    <row r="152" spans="1:1" x14ac:dyDescent="0.25">
      <c r="A152" s="4">
        <v>0.9</v>
      </c>
    </row>
    <row r="153" spans="1:1" x14ac:dyDescent="0.25">
      <c r="A153" s="4">
        <v>0.82</v>
      </c>
    </row>
    <row r="154" spans="1:1" x14ac:dyDescent="0.25">
      <c r="A154" s="4">
        <v>0.32</v>
      </c>
    </row>
    <row r="155" spans="1:1" x14ac:dyDescent="0.25">
      <c r="A155" s="4">
        <v>0.24</v>
      </c>
    </row>
    <row r="156" spans="1:1" x14ac:dyDescent="0.25">
      <c r="A156" s="4">
        <v>0.55000000000000004</v>
      </c>
    </row>
    <row r="157" spans="1:1" x14ac:dyDescent="0.25">
      <c r="A157" s="4">
        <v>0.61</v>
      </c>
    </row>
    <row r="158" spans="1:1" x14ac:dyDescent="0.25">
      <c r="A158" s="4">
        <v>0.62</v>
      </c>
    </row>
    <row r="159" spans="1:1" x14ac:dyDescent="0.25">
      <c r="A159" s="4">
        <v>0.77</v>
      </c>
    </row>
    <row r="160" spans="1:1" x14ac:dyDescent="0.25">
      <c r="A160" s="4">
        <v>0.33</v>
      </c>
    </row>
    <row r="161" spans="1:1" x14ac:dyDescent="0.25">
      <c r="A161" s="4">
        <v>0.06</v>
      </c>
    </row>
    <row r="162" spans="1:1" x14ac:dyDescent="0.25">
      <c r="A162" s="4">
        <v>0.61</v>
      </c>
    </row>
    <row r="163" spans="1:1" x14ac:dyDescent="0.25">
      <c r="A163" s="4">
        <v>0.75</v>
      </c>
    </row>
    <row r="164" spans="1:1" x14ac:dyDescent="0.25">
      <c r="A164" s="4">
        <v>0.14000000000000001</v>
      </c>
    </row>
    <row r="165" spans="1:1" x14ac:dyDescent="0.25">
      <c r="A165" s="4">
        <v>0.22</v>
      </c>
    </row>
    <row r="166" spans="1:1" x14ac:dyDescent="0.25">
      <c r="A166" s="4">
        <v>0.7</v>
      </c>
    </row>
    <row r="167" spans="1:1" x14ac:dyDescent="0.25">
      <c r="A167" s="4">
        <v>0.6</v>
      </c>
    </row>
    <row r="168" spans="1:1" x14ac:dyDescent="0.25">
      <c r="A168" s="4">
        <v>0.76</v>
      </c>
    </row>
    <row r="169" spans="1:1" x14ac:dyDescent="0.25">
      <c r="A169" s="4">
        <v>0.66</v>
      </c>
    </row>
    <row r="170" spans="1:1" x14ac:dyDescent="0.25">
      <c r="A170" s="4">
        <v>0.14000000000000001</v>
      </c>
    </row>
    <row r="171" spans="1:1" x14ac:dyDescent="0.25">
      <c r="A171" s="4">
        <v>0.32</v>
      </c>
    </row>
    <row r="172" spans="1:1" x14ac:dyDescent="0.25">
      <c r="A172" s="4">
        <v>0.73</v>
      </c>
    </row>
    <row r="173" spans="1:1" x14ac:dyDescent="0.25">
      <c r="A173" s="4">
        <v>0.24</v>
      </c>
    </row>
    <row r="174" spans="1:1" x14ac:dyDescent="0.25">
      <c r="A174" s="4">
        <v>0.31</v>
      </c>
    </row>
    <row r="175" spans="1:1" x14ac:dyDescent="0.25">
      <c r="A175" s="4">
        <v>0.28999999999999998</v>
      </c>
    </row>
    <row r="176" spans="1:1" x14ac:dyDescent="0.25">
      <c r="A176" s="4">
        <v>0.75</v>
      </c>
    </row>
    <row r="177" spans="1:1" x14ac:dyDescent="0.25">
      <c r="A177" s="4">
        <v>0.72</v>
      </c>
    </row>
    <row r="178" spans="1:1" x14ac:dyDescent="0.25">
      <c r="A178" s="4">
        <v>7.0000000000000007E-2</v>
      </c>
    </row>
    <row r="179" spans="1:1" x14ac:dyDescent="0.25">
      <c r="A179" s="4">
        <v>0.76</v>
      </c>
    </row>
    <row r="180" spans="1:1" x14ac:dyDescent="0.25">
      <c r="A180" s="4">
        <v>0.22</v>
      </c>
    </row>
    <row r="181" spans="1:1" x14ac:dyDescent="0.25">
      <c r="A181" s="4">
        <v>0.22</v>
      </c>
    </row>
    <row r="182" spans="1:1" x14ac:dyDescent="0.25">
      <c r="A182" s="4">
        <v>0.68</v>
      </c>
    </row>
    <row r="183" spans="1:1" x14ac:dyDescent="0.25">
      <c r="A183" s="4">
        <v>0.65</v>
      </c>
    </row>
    <row r="184" spans="1:1" x14ac:dyDescent="0.25">
      <c r="A184" s="4">
        <v>0.15</v>
      </c>
    </row>
    <row r="185" spans="1:1" x14ac:dyDescent="0.25">
      <c r="A185" s="4">
        <v>0.2</v>
      </c>
    </row>
    <row r="186" spans="1:1" x14ac:dyDescent="0.25">
      <c r="A186" s="4">
        <v>0.21</v>
      </c>
    </row>
    <row r="187" spans="1:1" x14ac:dyDescent="0.25">
      <c r="A187" s="4">
        <v>0.78</v>
      </c>
    </row>
    <row r="188" spans="1:1" x14ac:dyDescent="0.25">
      <c r="A188" s="4">
        <v>0.82</v>
      </c>
    </row>
    <row r="189" spans="1:1" x14ac:dyDescent="0.25">
      <c r="A189" s="4">
        <v>0.49</v>
      </c>
    </row>
    <row r="190" spans="1:1" x14ac:dyDescent="0.25">
      <c r="A190" s="4">
        <v>0.25</v>
      </c>
    </row>
    <row r="191" spans="1:1" x14ac:dyDescent="0.25">
      <c r="A191" s="4">
        <v>0.14000000000000001</v>
      </c>
    </row>
    <row r="192" spans="1:1" x14ac:dyDescent="0.25">
      <c r="A192" s="4">
        <v>0.56999999999999995</v>
      </c>
    </row>
    <row r="193" spans="1:1" x14ac:dyDescent="0.25">
      <c r="A193" s="4">
        <v>0.72</v>
      </c>
    </row>
    <row r="194" spans="1:1" x14ac:dyDescent="0.25">
      <c r="A194" s="4">
        <v>0.32</v>
      </c>
    </row>
    <row r="195" spans="1:1" x14ac:dyDescent="0.25">
      <c r="A195" s="4">
        <v>0.24</v>
      </c>
    </row>
    <row r="196" spans="1:1" x14ac:dyDescent="0.25">
      <c r="A196" s="4">
        <v>0.51</v>
      </c>
    </row>
    <row r="197" spans="1:1" x14ac:dyDescent="0.25">
      <c r="A197" s="4">
        <v>0.41</v>
      </c>
    </row>
    <row r="198" spans="1:1" x14ac:dyDescent="0.25">
      <c r="A198" s="4">
        <v>0.33</v>
      </c>
    </row>
    <row r="199" spans="1:1" x14ac:dyDescent="0.25">
      <c r="A199" s="4">
        <v>0.54</v>
      </c>
    </row>
    <row r="200" spans="1:1" x14ac:dyDescent="0.25">
      <c r="A200" s="4">
        <v>0.33</v>
      </c>
    </row>
    <row r="201" spans="1:1" x14ac:dyDescent="0.25">
      <c r="A201" s="4">
        <v>0.06</v>
      </c>
    </row>
    <row r="202" spans="1:1" x14ac:dyDescent="0.25">
      <c r="A202" s="4">
        <v>0.64</v>
      </c>
    </row>
    <row r="203" spans="1:1" x14ac:dyDescent="0.25">
      <c r="A203" s="4">
        <v>0.82</v>
      </c>
    </row>
    <row r="204" spans="1:1" x14ac:dyDescent="0.25">
      <c r="A204" s="4">
        <v>0.14000000000000001</v>
      </c>
    </row>
    <row r="205" spans="1:1" x14ac:dyDescent="0.25">
      <c r="A205" s="4">
        <v>0.22</v>
      </c>
    </row>
    <row r="206" spans="1:1" x14ac:dyDescent="0.25">
      <c r="A206" s="4">
        <v>0.72</v>
      </c>
    </row>
    <row r="207" spans="1:1" x14ac:dyDescent="0.25">
      <c r="A207" s="4">
        <v>0.68</v>
      </c>
    </row>
    <row r="208" spans="1:1" x14ac:dyDescent="0.25">
      <c r="A208" s="4">
        <v>0.47</v>
      </c>
    </row>
    <row r="209" spans="1:1" x14ac:dyDescent="0.25">
      <c r="A209" s="4">
        <v>0.5</v>
      </c>
    </row>
    <row r="210" spans="1:1" x14ac:dyDescent="0.25">
      <c r="A210" s="4">
        <v>0.14000000000000001</v>
      </c>
    </row>
    <row r="211" spans="1:1" x14ac:dyDescent="0.25">
      <c r="A211" s="4">
        <v>0.32</v>
      </c>
    </row>
    <row r="212" spans="1:1" x14ac:dyDescent="0.25">
      <c r="A212" s="4">
        <v>0.77</v>
      </c>
    </row>
    <row r="213" spans="1:1" x14ac:dyDescent="0.25">
      <c r="A213" s="4">
        <v>0.64</v>
      </c>
    </row>
    <row r="214" spans="1:1" x14ac:dyDescent="0.25">
      <c r="A214" s="4">
        <v>0.31</v>
      </c>
    </row>
    <row r="215" spans="1:1" x14ac:dyDescent="0.25">
      <c r="A215" s="4">
        <v>0.28999999999999998</v>
      </c>
    </row>
    <row r="216" spans="1:1" x14ac:dyDescent="0.25">
      <c r="A216" s="4">
        <v>0.48</v>
      </c>
    </row>
    <row r="217" spans="1:1" x14ac:dyDescent="0.25">
      <c r="A217" s="4">
        <v>0.72</v>
      </c>
    </row>
    <row r="218" spans="1:1" x14ac:dyDescent="0.25">
      <c r="A218" s="4">
        <v>0.66</v>
      </c>
    </row>
    <row r="219" spans="1:1" x14ac:dyDescent="0.25">
      <c r="A219" s="4">
        <v>0.77</v>
      </c>
    </row>
    <row r="220" spans="1:1" x14ac:dyDescent="0.25">
      <c r="A220" s="4">
        <v>0.22</v>
      </c>
    </row>
    <row r="221" spans="1:1" x14ac:dyDescent="0.25">
      <c r="A221" s="4">
        <v>0.22</v>
      </c>
    </row>
    <row r="222" spans="1:1" x14ac:dyDescent="0.25">
      <c r="A222" s="4">
        <v>0.71</v>
      </c>
    </row>
    <row r="223" spans="1:1" x14ac:dyDescent="0.25">
      <c r="A223" s="4">
        <v>0.7</v>
      </c>
    </row>
    <row r="224" spans="1:1" x14ac:dyDescent="0.25">
      <c r="A224" s="4">
        <v>0.15</v>
      </c>
    </row>
    <row r="225" spans="1:1" x14ac:dyDescent="0.25">
      <c r="A225" s="4">
        <v>0.2</v>
      </c>
    </row>
    <row r="226" spans="1:1" x14ac:dyDescent="0.25">
      <c r="A226" s="4">
        <v>0.72</v>
      </c>
    </row>
    <row r="227" spans="1:1" x14ac:dyDescent="0.25">
      <c r="A227" s="4">
        <v>0.69</v>
      </c>
    </row>
    <row r="228" spans="1:1" x14ac:dyDescent="0.25">
      <c r="A228" s="4">
        <v>0.75</v>
      </c>
    </row>
    <row r="229" spans="1:1" x14ac:dyDescent="0.25">
      <c r="A229" s="4">
        <v>0.84</v>
      </c>
    </row>
    <row r="230" spans="1:1" x14ac:dyDescent="0.25">
      <c r="A230" s="4">
        <v>0.25</v>
      </c>
    </row>
    <row r="231" spans="1:1" x14ac:dyDescent="0.25">
      <c r="A231" s="4">
        <v>0.14000000000000001</v>
      </c>
    </row>
    <row r="232" spans="1:1" x14ac:dyDescent="0.25">
      <c r="A232" s="4">
        <v>0.71</v>
      </c>
    </row>
    <row r="233" spans="1:1" x14ac:dyDescent="0.25">
      <c r="A233" s="4">
        <v>0.51</v>
      </c>
    </row>
    <row r="234" spans="1:1" x14ac:dyDescent="0.25">
      <c r="A234" s="4">
        <v>0.32</v>
      </c>
    </row>
    <row r="235" spans="1:1" x14ac:dyDescent="0.25">
      <c r="A235" s="4">
        <v>0.24</v>
      </c>
    </row>
    <row r="236" spans="1:1" x14ac:dyDescent="0.25">
      <c r="A236" s="4">
        <v>0.65</v>
      </c>
    </row>
    <row r="237" spans="1:1" x14ac:dyDescent="0.25">
      <c r="A237" s="4">
        <v>0.72</v>
      </c>
    </row>
    <row r="238" spans="1:1" x14ac:dyDescent="0.25">
      <c r="A238" s="4">
        <v>0.43</v>
      </c>
    </row>
    <row r="239" spans="1:1" x14ac:dyDescent="0.25">
      <c r="A239" s="4">
        <v>0.67</v>
      </c>
    </row>
    <row r="240" spans="1:1" x14ac:dyDescent="0.25">
      <c r="A240" s="4">
        <v>0.33</v>
      </c>
    </row>
    <row r="241" spans="1:1" x14ac:dyDescent="0.25">
      <c r="A241" s="4">
        <v>0.06</v>
      </c>
    </row>
    <row r="242" spans="1:1" x14ac:dyDescent="0.25">
      <c r="A242" s="4">
        <v>0.56999999999999995</v>
      </c>
    </row>
    <row r="243" spans="1:1" x14ac:dyDescent="0.25">
      <c r="A243" s="4">
        <v>0.87</v>
      </c>
    </row>
    <row r="244" spans="1:1" x14ac:dyDescent="0.25">
      <c r="A244" s="4">
        <v>0.77</v>
      </c>
    </row>
    <row r="245" spans="1:1" x14ac:dyDescent="0.25">
      <c r="A245" s="4">
        <v>0.22</v>
      </c>
    </row>
    <row r="246" spans="1:1" x14ac:dyDescent="0.25">
      <c r="A246" s="4">
        <v>0.26</v>
      </c>
    </row>
    <row r="247" spans="1:1" x14ac:dyDescent="0.25">
      <c r="A247" s="4">
        <v>0.6</v>
      </c>
    </row>
    <row r="248" spans="1:1" x14ac:dyDescent="0.25">
      <c r="A248" s="4">
        <v>0.5</v>
      </c>
    </row>
    <row r="249" spans="1:1" x14ac:dyDescent="0.25">
      <c r="A249" s="4">
        <v>0.27</v>
      </c>
    </row>
    <row r="250" spans="1:1" x14ac:dyDescent="0.25">
      <c r="A250" s="4">
        <v>0.14000000000000001</v>
      </c>
    </row>
    <row r="251" spans="1:1" x14ac:dyDescent="0.25">
      <c r="A251" s="4">
        <v>0.32</v>
      </c>
    </row>
    <row r="252" spans="1:1" x14ac:dyDescent="0.25">
      <c r="A252" s="4">
        <v>0.35</v>
      </c>
    </row>
    <row r="253" spans="1:1" x14ac:dyDescent="0.25">
      <c r="A253" s="4">
        <v>0.2</v>
      </c>
    </row>
    <row r="254" spans="1:1" x14ac:dyDescent="0.25">
      <c r="A254" s="4">
        <v>0.31</v>
      </c>
    </row>
    <row r="255" spans="1:1" x14ac:dyDescent="0.25">
      <c r="A255" s="4">
        <v>0.28999999999999998</v>
      </c>
    </row>
    <row r="256" spans="1:1" x14ac:dyDescent="0.25">
      <c r="A256" s="4">
        <v>0.6</v>
      </c>
    </row>
    <row r="257" spans="1:1" x14ac:dyDescent="0.25">
      <c r="A257" s="4">
        <v>0.28000000000000003</v>
      </c>
    </row>
    <row r="258" spans="1:1" x14ac:dyDescent="0.25">
      <c r="A258" s="4">
        <v>0.64</v>
      </c>
    </row>
    <row r="259" spans="1:1" x14ac:dyDescent="0.25">
      <c r="A259" s="4">
        <v>0.31</v>
      </c>
    </row>
    <row r="260" spans="1:1" x14ac:dyDescent="0.25">
      <c r="A260" s="4">
        <v>0.22</v>
      </c>
    </row>
    <row r="261" spans="1:1" x14ac:dyDescent="0.25">
      <c r="A261" s="4">
        <v>0.22</v>
      </c>
    </row>
    <row r="262" spans="1:1" x14ac:dyDescent="0.25">
      <c r="A262" s="4">
        <v>0.32</v>
      </c>
    </row>
    <row r="263" spans="1:1" x14ac:dyDescent="0.25">
      <c r="A263" s="4">
        <v>0.28999999999999998</v>
      </c>
    </row>
    <row r="264" spans="1:1" x14ac:dyDescent="0.25">
      <c r="A264" s="4">
        <v>0.15</v>
      </c>
    </row>
    <row r="265" spans="1:1" x14ac:dyDescent="0.25">
      <c r="A265" s="4">
        <v>0.2</v>
      </c>
    </row>
    <row r="266" spans="1:1" x14ac:dyDescent="0.25">
      <c r="A266" s="4">
        <v>0.22</v>
      </c>
    </row>
    <row r="267" spans="1:1" x14ac:dyDescent="0.25">
      <c r="A267" s="4">
        <v>0.57999999999999996</v>
      </c>
    </row>
    <row r="268" spans="1:1" x14ac:dyDescent="0.25">
      <c r="A268" s="4">
        <v>0.56999999999999995</v>
      </c>
    </row>
    <row r="269" spans="1:1" x14ac:dyDescent="0.25">
      <c r="A269" s="4">
        <v>0.65</v>
      </c>
    </row>
    <row r="270" spans="1:1" x14ac:dyDescent="0.25">
      <c r="A270" s="4">
        <v>0.25</v>
      </c>
    </row>
    <row r="271" spans="1:1" x14ac:dyDescent="0.25">
      <c r="A271" s="4">
        <v>0.14000000000000001</v>
      </c>
    </row>
    <row r="272" spans="1:1" x14ac:dyDescent="0.25">
      <c r="A272" s="4">
        <v>0.49</v>
      </c>
    </row>
    <row r="273" spans="1:1" x14ac:dyDescent="0.25">
      <c r="A273" s="4">
        <v>0.82</v>
      </c>
    </row>
    <row r="274" spans="1:1" x14ac:dyDescent="0.25">
      <c r="A274" s="4">
        <v>0.32</v>
      </c>
    </row>
    <row r="275" spans="1:1" x14ac:dyDescent="0.25">
      <c r="A275" s="4">
        <v>0.24</v>
      </c>
    </row>
    <row r="276" spans="1:1" x14ac:dyDescent="0.25">
      <c r="A276" s="4">
        <v>0.62</v>
      </c>
    </row>
    <row r="277" spans="1:1" x14ac:dyDescent="0.25">
      <c r="A277" s="4">
        <v>0.69</v>
      </c>
    </row>
    <row r="278" spans="1:1" x14ac:dyDescent="0.25">
      <c r="A278" s="4">
        <v>0.73</v>
      </c>
    </row>
    <row r="279" spans="1:1" x14ac:dyDescent="0.25">
      <c r="A279" s="4">
        <v>0.51</v>
      </c>
    </row>
    <row r="280" spans="1:1" x14ac:dyDescent="0.25">
      <c r="A280" s="4">
        <v>0.33</v>
      </c>
    </row>
    <row r="281" spans="1:1" x14ac:dyDescent="0.25">
      <c r="A281" s="4">
        <v>0.06</v>
      </c>
    </row>
    <row r="282" spans="1:1" x14ac:dyDescent="0.25">
      <c r="A282" s="4">
        <v>0.2</v>
      </c>
    </row>
    <row r="283" spans="1:1" x14ac:dyDescent="0.25">
      <c r="A283" s="4">
        <v>0.36</v>
      </c>
    </row>
    <row r="284" spans="1:1" x14ac:dyDescent="0.25">
      <c r="A284" s="4">
        <v>0.65</v>
      </c>
    </row>
    <row r="285" spans="1:1" x14ac:dyDescent="0.25">
      <c r="A285" s="4">
        <v>0.22</v>
      </c>
    </row>
    <row r="286" spans="1:1" x14ac:dyDescent="0.25">
      <c r="A286" s="4">
        <v>0.86</v>
      </c>
    </row>
    <row r="287" spans="1:1" x14ac:dyDescent="0.25">
      <c r="A287" s="4">
        <v>0.14000000000000001</v>
      </c>
    </row>
    <row r="288" spans="1:1" x14ac:dyDescent="0.25">
      <c r="A288" s="4">
        <v>0.7</v>
      </c>
    </row>
    <row r="289" spans="1:1" x14ac:dyDescent="0.25">
      <c r="A289" s="4">
        <v>0.49</v>
      </c>
    </row>
    <row r="290" spans="1:1" x14ac:dyDescent="0.25">
      <c r="A290" s="4">
        <v>0.14000000000000001</v>
      </c>
    </row>
    <row r="291" spans="1:1" x14ac:dyDescent="0.25">
      <c r="A291" s="4">
        <v>0.32</v>
      </c>
    </row>
    <row r="292" spans="1:1" x14ac:dyDescent="0.25">
      <c r="A292" s="4">
        <v>0.66</v>
      </c>
    </row>
    <row r="293" spans="1:1" x14ac:dyDescent="0.25">
      <c r="A293" s="4">
        <v>0.62</v>
      </c>
    </row>
    <row r="294" spans="1:1" x14ac:dyDescent="0.25">
      <c r="A294" s="4">
        <v>0.31</v>
      </c>
    </row>
    <row r="295" spans="1:1" x14ac:dyDescent="0.25">
      <c r="A295" s="4">
        <v>0.28999999999999998</v>
      </c>
    </row>
    <row r="296" spans="1:1" x14ac:dyDescent="0.25">
      <c r="A296" s="4">
        <v>0.66</v>
      </c>
    </row>
    <row r="297" spans="1:1" x14ac:dyDescent="0.25">
      <c r="A297" s="4">
        <v>0.67</v>
      </c>
    </row>
    <row r="298" spans="1:1" x14ac:dyDescent="0.25">
      <c r="A298" s="4">
        <v>0.41</v>
      </c>
    </row>
    <row r="299" spans="1:1" x14ac:dyDescent="0.25">
      <c r="A299" s="4">
        <v>0.44</v>
      </c>
    </row>
    <row r="300" spans="1:1" x14ac:dyDescent="0.25">
      <c r="A300" s="4">
        <v>0.22</v>
      </c>
    </row>
    <row r="301" spans="1:1" x14ac:dyDescent="0.25">
      <c r="A301" s="4">
        <v>0.22</v>
      </c>
    </row>
    <row r="302" spans="1:1" x14ac:dyDescent="0.25">
      <c r="A302" s="4">
        <v>0.63</v>
      </c>
    </row>
    <row r="303" spans="1:1" x14ac:dyDescent="0.25">
      <c r="A303" s="4">
        <v>0.41</v>
      </c>
    </row>
    <row r="304" spans="1:1" x14ac:dyDescent="0.25">
      <c r="A304" s="4">
        <v>0.15</v>
      </c>
    </row>
    <row r="305" spans="1:1" x14ac:dyDescent="0.25">
      <c r="A305" s="4">
        <v>0.2</v>
      </c>
    </row>
    <row r="306" spans="1:1" x14ac:dyDescent="0.25">
      <c r="A306" s="4">
        <v>0.27</v>
      </c>
    </row>
    <row r="307" spans="1:1" x14ac:dyDescent="0.25">
      <c r="A307" s="4">
        <v>0.66</v>
      </c>
    </row>
    <row r="308" spans="1:1" x14ac:dyDescent="0.25">
      <c r="A308" s="4">
        <v>0.72</v>
      </c>
    </row>
    <row r="309" spans="1:1" x14ac:dyDescent="0.25">
      <c r="A309" s="4">
        <v>0.72</v>
      </c>
    </row>
    <row r="310" spans="1:1" x14ac:dyDescent="0.25">
      <c r="A310" s="4">
        <v>0.25</v>
      </c>
    </row>
    <row r="311" spans="1:1" x14ac:dyDescent="0.25">
      <c r="A311" s="4">
        <v>0.14000000000000001</v>
      </c>
    </row>
    <row r="312" spans="1:1" x14ac:dyDescent="0.25">
      <c r="A312" s="4">
        <v>0.71</v>
      </c>
    </row>
    <row r="313" spans="1:1" x14ac:dyDescent="0.25">
      <c r="A313" s="4">
        <v>0.73</v>
      </c>
    </row>
    <row r="314" spans="1:1" x14ac:dyDescent="0.25">
      <c r="A314" s="4">
        <v>0.32</v>
      </c>
    </row>
    <row r="315" spans="1:1" x14ac:dyDescent="0.25">
      <c r="A315" s="4">
        <v>0.24</v>
      </c>
    </row>
    <row r="316" spans="1:1" x14ac:dyDescent="0.25">
      <c r="A316" s="4">
        <v>0.73</v>
      </c>
    </row>
    <row r="317" spans="1:1" x14ac:dyDescent="0.25">
      <c r="A317" s="4">
        <v>0.73</v>
      </c>
    </row>
    <row r="318" spans="1:1" x14ac:dyDescent="0.25">
      <c r="A318" s="4">
        <v>0.71</v>
      </c>
    </row>
    <row r="319" spans="1:1" x14ac:dyDescent="0.25">
      <c r="A319" s="4">
        <v>0.71</v>
      </c>
    </row>
    <row r="320" spans="1:1" x14ac:dyDescent="0.25">
      <c r="A320" s="4">
        <v>0.33</v>
      </c>
    </row>
    <row r="321" spans="1:1" x14ac:dyDescent="0.25">
      <c r="A321" s="4">
        <v>0.06</v>
      </c>
    </row>
    <row r="322" spans="1:1" x14ac:dyDescent="0.25">
      <c r="A322" s="4">
        <v>0.7</v>
      </c>
    </row>
    <row r="323" spans="1:1" x14ac:dyDescent="0.25">
      <c r="A323" s="4">
        <v>0.7</v>
      </c>
    </row>
    <row r="324" spans="1:1" x14ac:dyDescent="0.25">
      <c r="A324" s="4">
        <v>0.81</v>
      </c>
    </row>
    <row r="325" spans="1:1" x14ac:dyDescent="0.25">
      <c r="A325" s="4">
        <v>0.22</v>
      </c>
    </row>
    <row r="326" spans="1:1" x14ac:dyDescent="0.25">
      <c r="A326" s="4">
        <v>0.57999999999999996</v>
      </c>
    </row>
    <row r="327" spans="1:1" x14ac:dyDescent="0.25">
      <c r="A327" s="4">
        <v>0.31</v>
      </c>
    </row>
    <row r="328" spans="1:1" x14ac:dyDescent="0.25">
      <c r="A328" s="4">
        <v>0.64</v>
      </c>
    </row>
    <row r="329" spans="1:1" x14ac:dyDescent="0.25">
      <c r="A329" s="4">
        <v>0.31</v>
      </c>
    </row>
    <row r="330" spans="1:1" x14ac:dyDescent="0.25">
      <c r="A330" s="4">
        <v>0.14000000000000001</v>
      </c>
    </row>
    <row r="331" spans="1:1" x14ac:dyDescent="0.25">
      <c r="A331" s="4">
        <v>0.32</v>
      </c>
    </row>
    <row r="332" spans="1:1" x14ac:dyDescent="0.25">
      <c r="A332" s="4">
        <v>0.51</v>
      </c>
    </row>
    <row r="333" spans="1:1" x14ac:dyDescent="0.25">
      <c r="A333" s="4">
        <v>0.51</v>
      </c>
    </row>
    <row r="334" spans="1:1" x14ac:dyDescent="0.25">
      <c r="A334" s="4">
        <v>0.31</v>
      </c>
    </row>
    <row r="335" spans="1:1" x14ac:dyDescent="0.25">
      <c r="A335" s="4">
        <v>0.28999999999999998</v>
      </c>
    </row>
    <row r="336" spans="1:1" x14ac:dyDescent="0.25">
      <c r="A336" s="4">
        <v>0.71</v>
      </c>
    </row>
    <row r="337" spans="1:1" x14ac:dyDescent="0.25">
      <c r="A337" s="4">
        <v>0.63</v>
      </c>
    </row>
    <row r="338" spans="1:1" x14ac:dyDescent="0.25">
      <c r="A338" s="4">
        <v>0.27</v>
      </c>
    </row>
    <row r="339" spans="1:1" x14ac:dyDescent="0.25">
      <c r="A339" s="4">
        <v>0.68</v>
      </c>
    </row>
    <row r="340" spans="1:1" x14ac:dyDescent="0.25">
      <c r="A340" s="4">
        <v>0.22</v>
      </c>
    </row>
    <row r="341" spans="1:1" x14ac:dyDescent="0.25">
      <c r="A341" s="4">
        <v>0.22</v>
      </c>
    </row>
    <row r="342" spans="1:1" x14ac:dyDescent="0.25">
      <c r="A342" s="4">
        <v>0.28000000000000003</v>
      </c>
    </row>
    <row r="343" spans="1:1" x14ac:dyDescent="0.25">
      <c r="A343" s="4">
        <v>0.63</v>
      </c>
    </row>
    <row r="344" spans="1:1" x14ac:dyDescent="0.25">
      <c r="A344" s="4">
        <v>0.15</v>
      </c>
    </row>
    <row r="345" spans="1:1" x14ac:dyDescent="0.25">
      <c r="A345" s="4">
        <v>0.2</v>
      </c>
    </row>
    <row r="346" spans="1:1" x14ac:dyDescent="0.25">
      <c r="A346" s="4">
        <v>0.51</v>
      </c>
    </row>
    <row r="347" spans="1:1" x14ac:dyDescent="0.25">
      <c r="A347" s="4">
        <v>0.65</v>
      </c>
    </row>
    <row r="348" spans="1:1" x14ac:dyDescent="0.25">
      <c r="A348" s="4">
        <v>0.57999999999999996</v>
      </c>
    </row>
    <row r="349" spans="1:1" x14ac:dyDescent="0.25">
      <c r="A349" s="4">
        <v>0.7</v>
      </c>
    </row>
    <row r="350" spans="1:1" x14ac:dyDescent="0.25">
      <c r="A350" s="4">
        <v>0.25</v>
      </c>
    </row>
    <row r="351" spans="1:1" x14ac:dyDescent="0.25">
      <c r="A351" s="4">
        <v>0.14000000000000001</v>
      </c>
    </row>
    <row r="352" spans="1:1" x14ac:dyDescent="0.25">
      <c r="A352" s="4">
        <v>0.59</v>
      </c>
    </row>
    <row r="353" spans="1:1" x14ac:dyDescent="0.25">
      <c r="A353" s="4">
        <v>0.66</v>
      </c>
    </row>
    <row r="354" spans="1:1" x14ac:dyDescent="0.25">
      <c r="A354" s="4">
        <v>0.32</v>
      </c>
    </row>
    <row r="355" spans="1:1" x14ac:dyDescent="0.25">
      <c r="A355" s="4">
        <v>0.24</v>
      </c>
    </row>
    <row r="356" spans="1:1" x14ac:dyDescent="0.25">
      <c r="A356" s="4">
        <v>0.56999999999999995</v>
      </c>
    </row>
    <row r="357" spans="1:1" x14ac:dyDescent="0.25">
      <c r="A357" s="4">
        <v>0.51</v>
      </c>
    </row>
    <row r="358" spans="1:1" x14ac:dyDescent="0.25">
      <c r="A358" s="4">
        <v>0.6</v>
      </c>
    </row>
    <row r="359" spans="1:1" x14ac:dyDescent="0.25">
      <c r="A359" s="4">
        <v>0.51</v>
      </c>
    </row>
    <row r="360" spans="1:1" x14ac:dyDescent="0.25">
      <c r="A360" s="4">
        <v>0.33</v>
      </c>
    </row>
    <row r="361" spans="1:1" x14ac:dyDescent="0.25">
      <c r="A361" s="4">
        <v>0.06</v>
      </c>
    </row>
    <row r="362" spans="1:1" x14ac:dyDescent="0.25">
      <c r="A362" s="4">
        <v>0.51</v>
      </c>
    </row>
    <row r="363" spans="1:1" x14ac:dyDescent="0.25">
      <c r="A363" s="4">
        <v>0.64</v>
      </c>
    </row>
    <row r="364" spans="1:1" x14ac:dyDescent="0.25">
      <c r="A364" s="4">
        <v>0.22</v>
      </c>
    </row>
    <row r="365" spans="1:1" x14ac:dyDescent="0.25">
      <c r="A365" s="4">
        <v>0.14000000000000001</v>
      </c>
    </row>
    <row r="366" spans="1:1" x14ac:dyDescent="0.25">
      <c r="A366" s="4">
        <v>0.51</v>
      </c>
    </row>
    <row r="367" spans="1:1" x14ac:dyDescent="0.25">
      <c r="A367" s="4">
        <v>0.69</v>
      </c>
    </row>
    <row r="368" spans="1:1" x14ac:dyDescent="0.25">
      <c r="A368" s="4">
        <v>0.59</v>
      </c>
    </row>
    <row r="369" spans="1:1" x14ac:dyDescent="0.25">
      <c r="A369" s="4">
        <v>0.63</v>
      </c>
    </row>
    <row r="370" spans="1:1" x14ac:dyDescent="0.25">
      <c r="A370" s="4">
        <v>0.32</v>
      </c>
    </row>
    <row r="371" spans="1:1" x14ac:dyDescent="0.25">
      <c r="A371" s="4">
        <v>0.31</v>
      </c>
    </row>
    <row r="372" spans="1:1" x14ac:dyDescent="0.25">
      <c r="A372" s="4">
        <v>0.51</v>
      </c>
    </row>
    <row r="373" spans="1:1" x14ac:dyDescent="0.25">
      <c r="A373" s="4">
        <v>0.64</v>
      </c>
    </row>
    <row r="374" spans="1:1" x14ac:dyDescent="0.25">
      <c r="A374" s="4">
        <v>0.28999999999999998</v>
      </c>
    </row>
    <row r="375" spans="1:1" x14ac:dyDescent="0.25">
      <c r="A375" s="4">
        <v>0.22</v>
      </c>
    </row>
    <row r="376" spans="1:1" x14ac:dyDescent="0.25">
      <c r="A376" s="4">
        <v>0.72</v>
      </c>
    </row>
    <row r="377" spans="1:1" x14ac:dyDescent="0.25">
      <c r="A377" s="4">
        <v>0.84</v>
      </c>
    </row>
    <row r="378" spans="1:1" x14ac:dyDescent="0.25">
      <c r="A378" s="4">
        <v>0.7</v>
      </c>
    </row>
    <row r="379" spans="1:1" x14ac:dyDescent="0.25">
      <c r="A379" s="4">
        <v>0.51</v>
      </c>
    </row>
    <row r="380" spans="1:1" x14ac:dyDescent="0.25">
      <c r="A380" s="4">
        <v>0.22</v>
      </c>
    </row>
    <row r="381" spans="1:1" x14ac:dyDescent="0.25">
      <c r="A381" s="4">
        <v>0.15</v>
      </c>
    </row>
    <row r="382" spans="1:1" x14ac:dyDescent="0.25">
      <c r="A382" s="4">
        <v>0.76</v>
      </c>
    </row>
    <row r="383" spans="1:1" x14ac:dyDescent="0.25">
      <c r="A383" s="4">
        <v>0.72</v>
      </c>
    </row>
    <row r="384" spans="1:1" x14ac:dyDescent="0.25">
      <c r="A384" s="4">
        <v>0.2</v>
      </c>
    </row>
    <row r="385" spans="1:1" x14ac:dyDescent="0.25">
      <c r="A385" s="4">
        <v>0.25</v>
      </c>
    </row>
    <row r="386" spans="1:1" x14ac:dyDescent="0.25">
      <c r="A386" s="4">
        <v>0.63</v>
      </c>
    </row>
    <row r="387" spans="1:1" x14ac:dyDescent="0.25">
      <c r="A387" s="4">
        <v>0.71</v>
      </c>
    </row>
    <row r="388" spans="1:1" x14ac:dyDescent="0.25">
      <c r="A388" s="4">
        <v>0.71</v>
      </c>
    </row>
    <row r="389" spans="1:1" x14ac:dyDescent="0.25">
      <c r="A389" s="4">
        <v>0.75</v>
      </c>
    </row>
    <row r="390" spans="1:1" x14ac:dyDescent="0.25">
      <c r="A390" s="4">
        <v>0.14000000000000001</v>
      </c>
    </row>
    <row r="391" spans="1:1" x14ac:dyDescent="0.25">
      <c r="A391" s="4">
        <v>0.32</v>
      </c>
    </row>
    <row r="392" spans="1:1" x14ac:dyDescent="0.25">
      <c r="A392" s="4">
        <v>0.55000000000000004</v>
      </c>
    </row>
    <row r="393" spans="1:1" x14ac:dyDescent="0.25">
      <c r="A393" s="4">
        <v>0.71</v>
      </c>
    </row>
    <row r="394" spans="1:1" x14ac:dyDescent="0.25">
      <c r="A394" s="4">
        <v>0.71</v>
      </c>
    </row>
    <row r="395" spans="1:1" x14ac:dyDescent="0.25">
      <c r="A395" s="4">
        <v>0.72</v>
      </c>
    </row>
    <row r="396" spans="1:1" x14ac:dyDescent="0.25">
      <c r="A396" s="4">
        <v>0.24</v>
      </c>
    </row>
    <row r="397" spans="1:1" x14ac:dyDescent="0.25">
      <c r="A397" s="4">
        <v>0.72</v>
      </c>
    </row>
    <row r="398" spans="1:1" x14ac:dyDescent="0.25">
      <c r="A398" s="4">
        <v>0.59</v>
      </c>
    </row>
    <row r="399" spans="1:1" x14ac:dyDescent="0.25">
      <c r="A399" s="4">
        <v>0.66</v>
      </c>
    </row>
    <row r="400" spans="1:1" x14ac:dyDescent="0.25">
      <c r="A400" s="4">
        <v>0.33</v>
      </c>
    </row>
    <row r="401" spans="1:1" x14ac:dyDescent="0.25">
      <c r="A401" s="4">
        <v>0.06</v>
      </c>
    </row>
    <row r="402" spans="1:1" x14ac:dyDescent="0.25">
      <c r="A402" s="4">
        <v>0.51</v>
      </c>
    </row>
    <row r="403" spans="1:1" x14ac:dyDescent="0.25">
      <c r="A403" s="4">
        <v>0.64</v>
      </c>
    </row>
    <row r="404" spans="1:1" x14ac:dyDescent="0.25">
      <c r="A404" s="4">
        <v>0.22</v>
      </c>
    </row>
    <row r="405" spans="1:1" x14ac:dyDescent="0.25">
      <c r="A405" s="4">
        <v>0.14000000000000001</v>
      </c>
    </row>
    <row r="406" spans="1:1" x14ac:dyDescent="0.25">
      <c r="A406" s="4">
        <v>0.51</v>
      </c>
    </row>
    <row r="407" spans="1:1" x14ac:dyDescent="0.25">
      <c r="A407" s="4">
        <v>0.77</v>
      </c>
    </row>
    <row r="408" spans="1:1" x14ac:dyDescent="0.25">
      <c r="A408" s="4">
        <v>0.59</v>
      </c>
    </row>
    <row r="409" spans="1:1" x14ac:dyDescent="0.25">
      <c r="A409" s="4">
        <v>0.63</v>
      </c>
    </row>
    <row r="410" spans="1:1" x14ac:dyDescent="0.25">
      <c r="A410" s="4">
        <v>0.32</v>
      </c>
    </row>
    <row r="411" spans="1:1" x14ac:dyDescent="0.25">
      <c r="A411" s="4">
        <v>0.31</v>
      </c>
    </row>
    <row r="412" spans="1:1" x14ac:dyDescent="0.25">
      <c r="A412" s="4">
        <v>0.51</v>
      </c>
    </row>
    <row r="413" spans="1:1" x14ac:dyDescent="0.25">
      <c r="A413" s="4">
        <v>0.69</v>
      </c>
    </row>
    <row r="414" spans="1:1" x14ac:dyDescent="0.25">
      <c r="A414" s="4">
        <v>0.28999999999999998</v>
      </c>
    </row>
    <row r="415" spans="1:1" x14ac:dyDescent="0.25">
      <c r="A415" s="4">
        <v>0.22</v>
      </c>
    </row>
    <row r="416" spans="1:1" x14ac:dyDescent="0.25">
      <c r="A416" s="4">
        <v>0.72</v>
      </c>
    </row>
    <row r="417" spans="1:1" x14ac:dyDescent="0.25">
      <c r="A417" s="4">
        <v>0.84</v>
      </c>
    </row>
    <row r="418" spans="1:1" x14ac:dyDescent="0.25">
      <c r="A418" s="4">
        <v>0.7</v>
      </c>
    </row>
    <row r="419" spans="1:1" x14ac:dyDescent="0.25">
      <c r="A419" s="4">
        <v>0.51</v>
      </c>
    </row>
    <row r="420" spans="1:1" x14ac:dyDescent="0.25">
      <c r="A420" s="4">
        <v>0.22</v>
      </c>
    </row>
    <row r="421" spans="1:1" x14ac:dyDescent="0.25">
      <c r="A421" s="4">
        <v>0.15</v>
      </c>
    </row>
    <row r="422" spans="1:1" x14ac:dyDescent="0.25">
      <c r="A422" s="4">
        <v>0.76</v>
      </c>
    </row>
    <row r="423" spans="1:1" x14ac:dyDescent="0.25">
      <c r="A423" s="4">
        <v>0.72</v>
      </c>
    </row>
    <row r="424" spans="1:1" x14ac:dyDescent="0.25">
      <c r="A424" s="4">
        <v>0.2</v>
      </c>
    </row>
    <row r="425" spans="1:1" x14ac:dyDescent="0.25">
      <c r="A425" s="4">
        <v>0.25</v>
      </c>
    </row>
    <row r="426" spans="1:1" x14ac:dyDescent="0.25">
      <c r="A426" s="4">
        <v>0.63</v>
      </c>
    </row>
    <row r="427" spans="1:1" x14ac:dyDescent="0.25">
      <c r="A427" s="4">
        <v>0.71</v>
      </c>
    </row>
    <row r="428" spans="1:1" x14ac:dyDescent="0.25">
      <c r="A428" s="4">
        <v>0.71</v>
      </c>
    </row>
    <row r="429" spans="1:1" x14ac:dyDescent="0.25">
      <c r="A429" s="4">
        <v>0.75</v>
      </c>
    </row>
    <row r="430" spans="1:1" x14ac:dyDescent="0.25">
      <c r="A430" s="4">
        <v>0.14000000000000001</v>
      </c>
    </row>
    <row r="431" spans="1:1" x14ac:dyDescent="0.25">
      <c r="A431" s="4">
        <v>0.32</v>
      </c>
    </row>
    <row r="432" spans="1:1" x14ac:dyDescent="0.25">
      <c r="A432" s="4">
        <v>0.55000000000000004</v>
      </c>
    </row>
    <row r="433" spans="1:1" x14ac:dyDescent="0.25">
      <c r="A433" s="4">
        <v>0.71</v>
      </c>
    </row>
    <row r="434" spans="1:1" x14ac:dyDescent="0.25">
      <c r="A434" s="4">
        <v>0.71</v>
      </c>
    </row>
    <row r="435" spans="1:1" x14ac:dyDescent="0.25">
      <c r="A435" s="4">
        <v>0.72</v>
      </c>
    </row>
    <row r="436" spans="1:1" x14ac:dyDescent="0.25">
      <c r="A436" s="4">
        <v>0.24</v>
      </c>
    </row>
    <row r="437" spans="1:1" x14ac:dyDescent="0.25">
      <c r="A437" s="4">
        <v>0.72</v>
      </c>
    </row>
    <row r="438" spans="1:1" x14ac:dyDescent="0.25">
      <c r="A438" s="4">
        <v>0.59</v>
      </c>
    </row>
    <row r="439" spans="1:1" x14ac:dyDescent="0.25">
      <c r="A439" s="4">
        <v>0.66</v>
      </c>
    </row>
    <row r="440" spans="1:1" x14ac:dyDescent="0.25">
      <c r="A440" s="4">
        <v>0.33</v>
      </c>
    </row>
    <row r="441" spans="1:1" x14ac:dyDescent="0.25">
      <c r="A441" s="4">
        <v>0.06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403E-A484-4F83-9B39-A7F187B61B4A}">
  <dimension ref="A3:B8"/>
  <sheetViews>
    <sheetView zoomScale="60" workbookViewId="0">
      <selection activeCell="B5" sqref="B5"/>
    </sheetView>
  </sheetViews>
  <sheetFormatPr defaultRowHeight="15.75" x14ac:dyDescent="0.25"/>
  <cols>
    <col min="1" max="1" width="18.25" bestFit="1" customWidth="1"/>
    <col min="2" max="2" width="14.5" bestFit="1" customWidth="1"/>
  </cols>
  <sheetData>
    <row r="3" spans="1:2" x14ac:dyDescent="0.25">
      <c r="A3" s="8" t="s">
        <v>1188</v>
      </c>
      <c r="B3" t="s">
        <v>1190</v>
      </c>
    </row>
    <row r="4" spans="1:2" x14ac:dyDescent="0.25">
      <c r="A4" s="9"/>
      <c r="B4" s="10">
        <v>2</v>
      </c>
    </row>
    <row r="5" spans="1:2" x14ac:dyDescent="0.25">
      <c r="A5" s="9" t="s">
        <v>485</v>
      </c>
      <c r="B5" s="10">
        <v>2</v>
      </c>
    </row>
    <row r="6" spans="1:2" x14ac:dyDescent="0.25">
      <c r="A6" s="9" t="s">
        <v>17</v>
      </c>
      <c r="B6" s="10">
        <v>119</v>
      </c>
    </row>
    <row r="7" spans="1:2" x14ac:dyDescent="0.25">
      <c r="A7" s="9" t="s">
        <v>29</v>
      </c>
      <c r="B7" s="10">
        <v>317</v>
      </c>
    </row>
    <row r="8" spans="1:2" x14ac:dyDescent="0.25">
      <c r="A8" s="9" t="s">
        <v>1189</v>
      </c>
      <c r="B8" s="10">
        <v>440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404B-CA6A-4D5C-8F5B-227FCF5B2E63}">
  <dimension ref="A3:B5"/>
  <sheetViews>
    <sheetView workbookViewId="0">
      <selection activeCell="A4" sqref="A4"/>
    </sheetView>
  </sheetViews>
  <sheetFormatPr defaultRowHeight="15.75" x14ac:dyDescent="0.25"/>
  <cols>
    <col min="1" max="1" width="18" bestFit="1" customWidth="1"/>
    <col min="2" max="2" width="10.5" bestFit="1" customWidth="1"/>
  </cols>
  <sheetData>
    <row r="3" spans="1:2" x14ac:dyDescent="0.25">
      <c r="A3" s="8" t="s">
        <v>1188</v>
      </c>
      <c r="B3" t="s">
        <v>1190</v>
      </c>
    </row>
    <row r="4" spans="1:2" x14ac:dyDescent="0.25">
      <c r="A4" s="9" t="s">
        <v>21</v>
      </c>
      <c r="B4" s="10">
        <v>440</v>
      </c>
    </row>
    <row r="5" spans="1:2" x14ac:dyDescent="0.25">
      <c r="A5" s="9" t="s">
        <v>1189</v>
      </c>
      <c r="B5" s="10">
        <v>440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8A59-D41D-4725-9EA3-1CDF89AB24A6}">
  <dimension ref="A3:B6"/>
  <sheetViews>
    <sheetView workbookViewId="0">
      <selection activeCell="B12" sqref="B12"/>
    </sheetView>
  </sheetViews>
  <sheetFormatPr defaultRowHeight="15.75" x14ac:dyDescent="0.25"/>
  <cols>
    <col min="1" max="1" width="12.375" bestFit="1" customWidth="1"/>
    <col min="2" max="2" width="10.5" bestFit="1" customWidth="1"/>
  </cols>
  <sheetData>
    <row r="3" spans="1:2" x14ac:dyDescent="0.25">
      <c r="A3" s="8" t="s">
        <v>1188</v>
      </c>
      <c r="B3" t="s">
        <v>1190</v>
      </c>
    </row>
    <row r="4" spans="1:2" x14ac:dyDescent="0.25">
      <c r="A4" s="9" t="s">
        <v>1208</v>
      </c>
      <c r="B4" s="10">
        <v>186</v>
      </c>
    </row>
    <row r="5" spans="1:2" x14ac:dyDescent="0.25">
      <c r="A5" s="9" t="s">
        <v>1209</v>
      </c>
      <c r="B5" s="10">
        <v>214</v>
      </c>
    </row>
    <row r="6" spans="1:2" x14ac:dyDescent="0.25">
      <c r="A6" s="9" t="s">
        <v>1189</v>
      </c>
      <c r="B6" s="10">
        <v>400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DA7D-A719-4EF0-8A64-881A1070919E}">
  <dimension ref="A3:B15"/>
  <sheetViews>
    <sheetView workbookViewId="0">
      <selection activeCell="A11" sqref="A11"/>
    </sheetView>
  </sheetViews>
  <sheetFormatPr defaultRowHeight="15.75" x14ac:dyDescent="0.25"/>
  <cols>
    <col min="1" max="1" width="20" bestFit="1" customWidth="1"/>
    <col min="2" max="2" width="10.5" bestFit="1" customWidth="1"/>
  </cols>
  <sheetData>
    <row r="3" spans="1:2" x14ac:dyDescent="0.25">
      <c r="A3" s="8" t="s">
        <v>1188</v>
      </c>
      <c r="B3" t="s">
        <v>1190</v>
      </c>
    </row>
    <row r="4" spans="1:2" x14ac:dyDescent="0.25">
      <c r="A4" s="9" t="s">
        <v>1170</v>
      </c>
      <c r="B4" s="10">
        <v>14</v>
      </c>
    </row>
    <row r="5" spans="1:2" x14ac:dyDescent="0.25">
      <c r="A5" s="9" t="s">
        <v>1172</v>
      </c>
      <c r="B5" s="10">
        <v>19</v>
      </c>
    </row>
    <row r="6" spans="1:2" x14ac:dyDescent="0.25">
      <c r="A6" s="9" t="s">
        <v>1166</v>
      </c>
      <c r="B6" s="10">
        <v>10</v>
      </c>
    </row>
    <row r="7" spans="1:2" x14ac:dyDescent="0.25">
      <c r="A7" s="9" t="s">
        <v>1176</v>
      </c>
      <c r="B7" s="10">
        <v>1</v>
      </c>
    </row>
    <row r="8" spans="1:2" x14ac:dyDescent="0.25">
      <c r="A8" s="9" t="s">
        <v>1174</v>
      </c>
      <c r="B8" s="10">
        <v>28</v>
      </c>
    </row>
    <row r="9" spans="1:2" x14ac:dyDescent="0.25">
      <c r="A9" s="9" t="s">
        <v>1171</v>
      </c>
      <c r="B9" s="10">
        <v>23</v>
      </c>
    </row>
    <row r="10" spans="1:2" x14ac:dyDescent="0.25">
      <c r="A10" s="9" t="s">
        <v>1173</v>
      </c>
      <c r="B10" s="10">
        <v>100</v>
      </c>
    </row>
    <row r="11" spans="1:2" x14ac:dyDescent="0.25">
      <c r="A11" s="9" t="s">
        <v>1168</v>
      </c>
      <c r="B11" s="10">
        <v>57</v>
      </c>
    </row>
    <row r="12" spans="1:2" x14ac:dyDescent="0.25">
      <c r="A12" s="9" t="s">
        <v>1167</v>
      </c>
      <c r="B12" s="10">
        <v>82</v>
      </c>
    </row>
    <row r="13" spans="1:2" x14ac:dyDescent="0.25">
      <c r="A13" s="9" t="s">
        <v>1169</v>
      </c>
      <c r="B13" s="10">
        <v>95</v>
      </c>
    </row>
    <row r="14" spans="1:2" x14ac:dyDescent="0.25">
      <c r="A14" s="9" t="s">
        <v>1175</v>
      </c>
      <c r="B14" s="10">
        <v>11</v>
      </c>
    </row>
    <row r="15" spans="1:2" x14ac:dyDescent="0.25">
      <c r="A15" s="9" t="s">
        <v>1189</v>
      </c>
      <c r="B15" s="10">
        <v>440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FADE-6829-45C7-A6F4-078C1030132B}">
  <dimension ref="A3:B17"/>
  <sheetViews>
    <sheetView topLeftCell="A2" zoomScale="86" workbookViewId="0">
      <selection activeCell="M22" sqref="M22"/>
    </sheetView>
  </sheetViews>
  <sheetFormatPr defaultRowHeight="15.75" x14ac:dyDescent="0.25"/>
  <cols>
    <col min="1" max="1" width="19.5" bestFit="1" customWidth="1"/>
    <col min="2" max="2" width="10.75" bestFit="1" customWidth="1"/>
  </cols>
  <sheetData>
    <row r="3" spans="1:2" x14ac:dyDescent="0.25">
      <c r="A3" s="8" t="s">
        <v>1188</v>
      </c>
      <c r="B3" t="s">
        <v>1190</v>
      </c>
    </row>
    <row r="4" spans="1:2" x14ac:dyDescent="0.25">
      <c r="A4" s="9" t="s">
        <v>55</v>
      </c>
      <c r="B4" s="10">
        <v>55</v>
      </c>
    </row>
    <row r="5" spans="1:2" x14ac:dyDescent="0.25">
      <c r="A5" s="9" t="s">
        <v>338</v>
      </c>
      <c r="B5" s="10">
        <v>4</v>
      </c>
    </row>
    <row r="6" spans="1:2" x14ac:dyDescent="0.25">
      <c r="A6" s="9" t="s">
        <v>258</v>
      </c>
      <c r="B6" s="10">
        <v>35</v>
      </c>
    </row>
    <row r="7" spans="1:2" x14ac:dyDescent="0.25">
      <c r="A7" s="9" t="s">
        <v>525</v>
      </c>
      <c r="B7" s="10">
        <v>5</v>
      </c>
    </row>
    <row r="8" spans="1:2" x14ac:dyDescent="0.25">
      <c r="A8" s="9" t="s">
        <v>770</v>
      </c>
      <c r="B8" s="10">
        <v>4</v>
      </c>
    </row>
    <row r="9" spans="1:2" x14ac:dyDescent="0.25">
      <c r="A9" s="9" t="s">
        <v>88</v>
      </c>
      <c r="B9" s="10">
        <v>25</v>
      </c>
    </row>
    <row r="10" spans="1:2" x14ac:dyDescent="0.25">
      <c r="A10" s="9" t="s">
        <v>504</v>
      </c>
      <c r="B10" s="10">
        <v>4</v>
      </c>
    </row>
    <row r="11" spans="1:2" x14ac:dyDescent="0.25">
      <c r="A11" s="9" t="s">
        <v>31</v>
      </c>
      <c r="B11" s="10">
        <v>4</v>
      </c>
    </row>
    <row r="12" spans="1:2" x14ac:dyDescent="0.25">
      <c r="A12" s="9" t="s">
        <v>20</v>
      </c>
      <c r="B12" s="10">
        <v>10</v>
      </c>
    </row>
    <row r="13" spans="1:2" x14ac:dyDescent="0.25">
      <c r="A13" s="9" t="s">
        <v>169</v>
      </c>
      <c r="B13" s="10">
        <v>10</v>
      </c>
    </row>
    <row r="14" spans="1:2" x14ac:dyDescent="0.25">
      <c r="A14" s="9" t="s">
        <v>153</v>
      </c>
      <c r="B14" s="10">
        <v>7</v>
      </c>
    </row>
    <row r="15" spans="1:2" x14ac:dyDescent="0.25">
      <c r="A15" s="9" t="s">
        <v>248</v>
      </c>
      <c r="B15" s="10">
        <v>5</v>
      </c>
    </row>
    <row r="16" spans="1:2" x14ac:dyDescent="0.25">
      <c r="A16" s="9" t="s">
        <v>41</v>
      </c>
      <c r="B16" s="10">
        <v>177</v>
      </c>
    </row>
    <row r="17" spans="1:2" x14ac:dyDescent="0.25">
      <c r="A17" s="9" t="s">
        <v>1189</v>
      </c>
      <c r="B17" s="10">
        <v>345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E670-16E3-42E5-91E0-8F180A899B72}">
  <dimension ref="A1"/>
  <sheetViews>
    <sheetView showGridLines="0" tabSelected="1" topLeftCell="C1" zoomScale="66" workbookViewId="0">
      <selection activeCell="C10" sqref="C10"/>
    </sheetView>
  </sheetViews>
  <sheetFormatPr defaultRowHeight="15.75" x14ac:dyDescent="0.25"/>
  <cols>
    <col min="1" max="16384" width="9"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REVENUE</vt:lpstr>
      <vt:lpstr>Sheet13</vt:lpstr>
      <vt:lpstr>Sheet14</vt:lpstr>
      <vt:lpstr>clean data</vt:lpstr>
      <vt:lpstr>original p</vt:lpstr>
      <vt:lpstr>special p</vt:lpstr>
      <vt:lpstr>discount</vt:lpstr>
      <vt:lpstr>plant size</vt:lpstr>
      <vt:lpstr>return</vt:lpstr>
      <vt:lpstr>feng shui</vt:lpstr>
      <vt:lpstr>plant type</vt:lpstr>
      <vt:lpstr>brand name </vt:lpstr>
      <vt:lpstr>dashboad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Shubhangi Purohit</cp:lastModifiedBy>
  <dcterms:modified xsi:type="dcterms:W3CDTF">2026-01-07T12:45:03Z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2025-08-04T12:35:05.021Z</dcterms:created>
  <dcterms:modified xsi:type="dcterms:W3CDTF">2025-08-04T12:35:05.021Z</dcterms:modified>
  <cp:revision>0</cp:revision>
</cp:coreProperties>
</file>